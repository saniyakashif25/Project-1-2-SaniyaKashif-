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23E253-8D50-4116-AE15-0C0FF7220AB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 Dataset" sheetId="1" r:id="rId1"/>
    <sheet name="Project 2 EDA" sheetId="4" r:id="rId2"/>
    <sheet name="Project 2 Pivot Tables" sheetId="5" r:id="rId3"/>
  </sheet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4" l="1"/>
  <c r="P14" i="4" s="1"/>
  <c r="N4" i="4"/>
  <c r="N3" i="4"/>
  <c r="F4" i="4"/>
  <c r="J4" i="4"/>
  <c r="F5" i="4"/>
  <c r="J5" i="4"/>
  <c r="F6" i="4"/>
  <c r="J6" i="4"/>
  <c r="F7" i="4"/>
  <c r="J7" i="4"/>
  <c r="F8" i="4"/>
  <c r="J8" i="4"/>
  <c r="F13" i="4"/>
  <c r="F14" i="4"/>
  <c r="F15" i="4"/>
  <c r="F16" i="4"/>
  <c r="F17" i="4"/>
  <c r="N6" i="4" l="1"/>
  <c r="N8" i="4" s="1"/>
  <c r="P13" i="4" s="1"/>
  <c r="N9" i="4" l="1"/>
</calcChain>
</file>

<file path=xl/sharedStrings.xml><?xml version="1.0" encoding="utf-8"?>
<sst xmlns="http://schemas.openxmlformats.org/spreadsheetml/2006/main" count="10629" uniqueCount="4333">
  <si>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</si>
  <si>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</si>
  <si>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</si>
  <si>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</si>
  <si>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</si>
  <si>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</si>
  <si>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</si>
  <si>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</si>
  <si>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</si>
  <si>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</si>
  <si>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</si>
  <si>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</si>
  <si>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</si>
  <si>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</si>
  <si>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</si>
  <si>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</si>
  <si>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</si>
  <si>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</si>
  <si>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</si>
  <si>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</si>
  <si>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</si>
  <si>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</si>
  <si>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</si>
  <si>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</si>
  <si>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</si>
  <si>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</si>
  <si>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</si>
  <si>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</si>
  <si>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</si>
  <si>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</si>
  <si>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</si>
  <si>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</si>
  <si>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</si>
  <si>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</si>
  <si>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</si>
  <si>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</si>
  <si>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</si>
  <si>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</si>
  <si>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</si>
  <si>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</si>
  <si>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</si>
  <si>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</si>
  <si>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</si>
  <si>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</si>
  <si>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</si>
  <si>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</si>
  <si>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</si>
  <si>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</si>
  <si>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</si>
  <si>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</si>
  <si>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</si>
  <si>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</si>
  <si>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</si>
  <si>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</si>
  <si>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</si>
  <si>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</si>
  <si>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</si>
  <si>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</si>
  <si>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</si>
  <si>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</si>
  <si>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</si>
  <si>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</si>
  <si>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</si>
  <si>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</si>
  <si>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</si>
  <si>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</si>
  <si>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</si>
  <si>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</si>
  <si>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</si>
  <si>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</si>
  <si>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</si>
  <si>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</si>
  <si>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</si>
  <si>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</si>
  <si>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</si>
  <si>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</si>
  <si>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</si>
  <si>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</si>
  <si>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</si>
  <si>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</si>
  <si>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</si>
  <si>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</si>
  <si>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</si>
  <si>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</si>
  <si>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</si>
  <si>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</si>
  <si>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</si>
  <si>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</si>
  <si>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</si>
  <si>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</si>
  <si>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</si>
  <si>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</si>
  <si>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</si>
  <si>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</si>
  <si>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</si>
  <si>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</si>
  <si>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</si>
  <si>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</si>
  <si>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</si>
  <si>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</si>
  <si>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</si>
  <si>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</si>
  <si>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</si>
  <si>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</si>
  <si>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</si>
  <si>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</si>
  <si>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</si>
  <si>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</si>
  <si>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</si>
  <si>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</si>
  <si>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</si>
  <si>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</si>
  <si>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</si>
  <si>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</si>
  <si>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</si>
  <si>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</si>
  <si>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</si>
  <si>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</si>
  <si>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</si>
  <si>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</si>
  <si>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</si>
  <si>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</si>
  <si>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</si>
  <si>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</si>
  <si>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</si>
  <si>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</si>
  <si>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</si>
  <si>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</si>
  <si>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</si>
  <si>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</si>
  <si>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</si>
  <si>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</si>
  <si>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</si>
  <si>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</si>
  <si>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</si>
  <si>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</si>
  <si>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</si>
  <si>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</si>
  <si>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</si>
  <si>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</si>
  <si>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</si>
  <si>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</si>
  <si>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</si>
  <si>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</si>
  <si>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</si>
  <si>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</si>
  <si>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</si>
  <si>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</si>
  <si>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</si>
  <si>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</si>
  <si>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</si>
  <si>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</si>
  <si>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</si>
  <si>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</si>
  <si>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</si>
  <si>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</si>
  <si>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</si>
  <si>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</si>
  <si>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</si>
  <si>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</si>
  <si>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</si>
  <si>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</si>
  <si>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</si>
  <si>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</si>
  <si>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</si>
  <si>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</si>
  <si>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</si>
  <si>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</si>
  <si>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</si>
  <si>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</si>
  <si>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</si>
  <si>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</si>
  <si>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</si>
  <si>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</si>
  <si>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</si>
  <si>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</si>
  <si>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</si>
  <si>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</si>
  <si>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</si>
  <si>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</si>
  <si>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</si>
  <si>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</si>
  <si>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</si>
  <si>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</si>
  <si>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</si>
  <si>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</si>
  <si>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</si>
  <si>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</si>
  <si>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</si>
  <si>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</si>
  <si>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</si>
  <si>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</si>
  <si>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</si>
  <si>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</si>
  <si>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</si>
  <si>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</si>
  <si>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</si>
  <si>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</si>
  <si>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</si>
  <si>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</si>
  <si>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</si>
  <si>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</si>
  <si>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</si>
  <si>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</si>
  <si>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</si>
  <si>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</si>
  <si>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</si>
  <si>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</si>
  <si>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</si>
  <si>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</si>
  <si>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</si>
  <si>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</si>
  <si>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</si>
  <si>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</si>
  <si>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</si>
  <si>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</si>
  <si>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</si>
  <si>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</si>
  <si>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</si>
  <si>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</si>
  <si>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</si>
  <si>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</si>
  <si>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</si>
  <si>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</si>
  <si>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</si>
  <si>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</si>
  <si>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</si>
  <si>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</si>
  <si>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</si>
  <si>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</si>
  <si>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</si>
  <si>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</si>
  <si>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</si>
  <si>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</si>
  <si>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</si>
  <si>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</si>
  <si>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</si>
  <si>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</si>
  <si>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</si>
  <si>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</si>
  <si>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</si>
  <si>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</si>
  <si>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</si>
  <si>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</si>
  <si>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</si>
  <si>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</si>
  <si>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</si>
  <si>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</si>
  <si>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</si>
  <si>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</si>
  <si>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</si>
  <si>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</si>
  <si>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</si>
  <si>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</si>
  <si>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</si>
  <si>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</si>
  <si>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</si>
  <si>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</si>
  <si>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</si>
  <si>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</si>
  <si>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</si>
  <si>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</si>
  <si>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</si>
  <si>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</si>
  <si>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</si>
  <si>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</si>
  <si>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</si>
  <si>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</si>
  <si>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</si>
  <si>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</si>
  <si>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</si>
  <si>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</si>
  <si>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</si>
  <si>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</si>
  <si>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</si>
  <si>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</si>
  <si>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</si>
  <si>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</si>
  <si>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</si>
  <si>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</si>
  <si>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</si>
  <si>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</si>
  <si>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</si>
  <si>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</si>
  <si>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</si>
  <si>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</si>
  <si>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</si>
  <si>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</si>
  <si>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</si>
  <si>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</si>
  <si>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</si>
  <si>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</si>
  <si>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</si>
  <si>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</si>
  <si>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</si>
  <si>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</si>
  <si>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</si>
  <si>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</si>
  <si>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</si>
  <si>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</si>
  <si>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</si>
  <si>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</si>
  <si>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</si>
  <si>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</si>
  <si>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</si>
  <si>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</si>
  <si>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</si>
  <si>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</si>
  <si>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</si>
  <si>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</si>
  <si>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</si>
  <si>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</si>
  <si>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</si>
  <si>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</si>
  <si>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</si>
  <si>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</si>
  <si>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</si>
  <si>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</si>
  <si>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</si>
  <si>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</si>
  <si>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</si>
  <si>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</si>
  <si>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</si>
  <si>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</si>
  <si>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</si>
  <si>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</si>
  <si>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</si>
  <si>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</si>
  <si>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</si>
  <si>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</si>
  <si>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</si>
  <si>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</si>
  <si>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</si>
  <si>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</si>
  <si>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</si>
  <si>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</si>
  <si>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</si>
  <si>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</si>
  <si>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</si>
  <si>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</si>
  <si>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</si>
  <si>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</si>
  <si>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</si>
  <si>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</si>
  <si>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</si>
  <si>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</si>
  <si>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</si>
  <si>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</si>
  <si>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</si>
  <si>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</si>
  <si>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</si>
  <si>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</si>
  <si>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</si>
  <si>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</si>
  <si>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</si>
  <si>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</si>
  <si>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</si>
  <si>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</si>
  <si>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</si>
  <si>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</si>
  <si>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</si>
  <si>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</si>
  <si>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</si>
  <si>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</si>
  <si>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</si>
  <si>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</si>
  <si>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</si>
  <si>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</si>
  <si>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</si>
  <si>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</si>
  <si>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</si>
  <si>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</si>
  <si>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</si>
  <si>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</si>
  <si>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</si>
  <si>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</si>
  <si>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</si>
  <si>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</si>
  <si>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</si>
  <si>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</si>
  <si>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</si>
  <si>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</si>
  <si>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</si>
  <si>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</si>
  <si>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</si>
  <si>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</si>
  <si>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</si>
  <si>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</si>
  <si>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</si>
  <si>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</si>
  <si>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</si>
  <si>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</si>
  <si>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</si>
  <si>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</si>
  <si>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</si>
  <si>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</si>
  <si>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</si>
  <si>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</si>
  <si>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</si>
  <si>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</si>
  <si>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</si>
  <si>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</si>
  <si>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</si>
  <si>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</si>
  <si>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</si>
  <si>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</si>
  <si>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</si>
  <si>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</si>
  <si>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</si>
  <si>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</si>
  <si>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</si>
  <si>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</si>
  <si>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</si>
  <si>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</si>
  <si>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</si>
  <si>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</si>
  <si>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</si>
  <si>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</si>
  <si>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</si>
  <si>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</si>
  <si>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</si>
  <si>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</si>
  <si>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</si>
  <si>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</si>
  <si>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</si>
  <si>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</si>
  <si>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</si>
  <si>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</si>
  <si>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</si>
  <si>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</si>
  <si>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</si>
  <si>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</si>
  <si>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</si>
  <si>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</si>
  <si>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</si>
  <si>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</si>
  <si>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</si>
  <si>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</si>
  <si>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</si>
  <si>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</si>
  <si>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</si>
  <si>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</si>
  <si>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</si>
  <si>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</si>
  <si>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</si>
  <si>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</si>
  <si>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</si>
  <si>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</si>
  <si>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</si>
  <si>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</si>
  <si>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</si>
  <si>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</si>
  <si>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</si>
  <si>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</si>
  <si>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</si>
  <si>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</si>
  <si>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</si>
  <si>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</si>
  <si>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</si>
  <si>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</si>
  <si>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</si>
  <si>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</si>
  <si>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</si>
  <si>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</si>
  <si>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</si>
  <si>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</si>
  <si>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</si>
  <si>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</si>
  <si>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</si>
  <si>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</si>
  <si>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</si>
  <si>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</si>
  <si>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</si>
  <si>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</si>
  <si>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</si>
  <si>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</si>
  <si>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</si>
  <si>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</si>
  <si>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</si>
  <si>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</si>
  <si>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</si>
  <si>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</si>
  <si>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</si>
  <si>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</si>
  <si>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</si>
  <si>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</si>
  <si>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</si>
  <si>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</si>
  <si>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</si>
  <si>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</si>
  <si>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</si>
  <si>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</si>
  <si>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</si>
  <si>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</si>
  <si>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</si>
  <si>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</si>
  <si>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</si>
  <si>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</si>
  <si>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</si>
  <si>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</si>
  <si>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</si>
  <si>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</si>
  <si>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</si>
  <si>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</si>
  <si>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</si>
  <si>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</si>
  <si>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</si>
  <si>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</si>
  <si>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</si>
  <si>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</si>
  <si>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</si>
  <si>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</si>
  <si>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</si>
  <si>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</si>
  <si>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</si>
  <si>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</si>
  <si>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</si>
  <si>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</si>
  <si>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</si>
  <si>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</si>
  <si>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</si>
  <si>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</si>
  <si>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</si>
  <si>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</si>
  <si>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</si>
  <si>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</si>
  <si>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</si>
  <si>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</si>
  <si>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</si>
  <si>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</si>
  <si>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</si>
  <si>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</si>
  <si>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</si>
  <si>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</si>
  <si>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</si>
  <si>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</si>
  <si>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</si>
  <si>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</si>
  <si>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</si>
  <si>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</si>
  <si>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</si>
  <si>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</si>
  <si>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</si>
  <si>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</si>
  <si>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</si>
  <si>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</si>
  <si>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</si>
  <si>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</si>
  <si>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</si>
  <si>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</si>
  <si>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</si>
  <si>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</si>
  <si>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</si>
  <si>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</si>
  <si>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</si>
  <si>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</si>
  <si>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</si>
  <si>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</si>
  <si>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</si>
  <si>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</si>
  <si>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</si>
  <si>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</si>
  <si>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</si>
  <si>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</si>
  <si>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</si>
  <si>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</si>
  <si>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</si>
  <si>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</si>
  <si>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</si>
  <si>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</si>
  <si>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</si>
  <si>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</si>
  <si>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</si>
  <si>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</si>
  <si>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</si>
  <si>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</si>
  <si>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</si>
  <si>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</si>
  <si>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</si>
  <si>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</si>
  <si>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</si>
  <si>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</si>
  <si>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</si>
  <si>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</si>
  <si>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</si>
  <si>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</si>
  <si>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</si>
  <si>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</si>
  <si>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</si>
  <si>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</si>
  <si>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</si>
  <si>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</si>
  <si>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</si>
  <si>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</si>
  <si>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</si>
  <si>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</si>
  <si>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</si>
  <si>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</si>
  <si>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</si>
  <si>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</si>
  <si>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</si>
  <si>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</si>
  <si>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</si>
  <si>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</si>
  <si>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</si>
  <si>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</si>
  <si>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</si>
  <si>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</si>
  <si>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</si>
  <si>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</si>
  <si>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</si>
  <si>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</si>
  <si>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</si>
  <si>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</si>
  <si>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</si>
  <si>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</si>
  <si>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</si>
  <si>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</si>
  <si>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</si>
  <si>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</si>
  <si>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</si>
  <si>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</si>
  <si>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</si>
  <si>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</si>
  <si>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</si>
  <si>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</si>
  <si>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</si>
  <si>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</si>
  <si>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</si>
  <si>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</si>
  <si>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</si>
  <si>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</si>
  <si>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</si>
  <si>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</si>
  <si>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</si>
  <si>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</si>
  <si>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</si>
  <si>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</si>
  <si>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</si>
  <si>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</si>
  <si>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</si>
  <si>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</si>
  <si>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</si>
  <si>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</si>
  <si>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</si>
  <si>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</si>
  <si>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</si>
  <si>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</si>
  <si>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</si>
  <si>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</si>
  <si>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</si>
  <si>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</si>
  <si>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</si>
  <si>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</si>
  <si>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</si>
  <si>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</si>
  <si>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</si>
  <si>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</si>
  <si>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</si>
  <si>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</si>
  <si>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</si>
  <si>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</si>
  <si>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</si>
  <si>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</si>
  <si>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</si>
  <si>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</si>
  <si>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</si>
  <si>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</si>
  <si>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</si>
  <si>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</si>
  <si>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</si>
  <si>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</si>
  <si>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</si>
  <si>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</si>
  <si>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</si>
  <si>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</si>
  <si>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</si>
  <si>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</si>
  <si>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</si>
  <si>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</si>
  <si>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</si>
  <si>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</si>
  <si>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</si>
  <si>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</si>
  <si>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</si>
  <si>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</si>
  <si>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</si>
  <si>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</si>
  <si>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</si>
  <si>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</si>
  <si>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</si>
  <si>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</si>
  <si>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</si>
  <si>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</si>
  <si>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</si>
  <si>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</si>
  <si>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</si>
  <si>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</si>
  <si>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</si>
  <si>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</si>
  <si>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</si>
  <si>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</si>
  <si>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</si>
  <si>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</si>
  <si>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</si>
  <si>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</si>
  <si>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</si>
  <si>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</si>
  <si>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</si>
  <si>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</si>
  <si>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</si>
  <si>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</si>
  <si>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</si>
  <si>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</si>
  <si>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</si>
  <si>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</si>
  <si>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</si>
  <si>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</si>
  <si>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</si>
  <si>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</si>
  <si>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</si>
  <si>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</si>
  <si>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</si>
  <si>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</si>
  <si>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</si>
  <si>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</si>
  <si>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</si>
  <si>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</si>
  <si>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</si>
  <si>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</si>
  <si>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</si>
  <si>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</si>
  <si>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</si>
  <si>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</si>
  <si>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</si>
  <si>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</si>
  <si>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</si>
  <si>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</si>
  <si>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</si>
  <si>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</si>
  <si>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</si>
  <si>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</si>
  <si>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</si>
  <si>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</si>
  <si>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</si>
  <si>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</si>
  <si>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</si>
  <si>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</si>
  <si>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</si>
  <si>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</si>
  <si>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</si>
  <si>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</si>
  <si>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</si>
  <si>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</si>
  <si>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</si>
  <si>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</si>
  <si>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</si>
  <si>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</si>
  <si>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</si>
  <si>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</si>
  <si>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</si>
  <si>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</si>
  <si>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</si>
  <si>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</si>
  <si>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</si>
  <si>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</si>
  <si>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</si>
  <si>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</si>
  <si>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</si>
  <si>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</si>
  <si>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</si>
  <si>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</si>
  <si>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</si>
  <si>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</si>
  <si>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</si>
  <si>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</si>
  <si>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</si>
  <si>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</si>
  <si>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</si>
  <si>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</si>
  <si>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</si>
  <si>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</si>
  <si>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</si>
  <si>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</si>
  <si>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</si>
  <si>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</si>
  <si>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</si>
  <si>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</si>
  <si>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</si>
  <si>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</si>
  <si>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</si>
  <si>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</si>
  <si>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</si>
  <si>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</si>
  <si>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</si>
  <si>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</si>
  <si>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</si>
  <si>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</si>
  <si>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</si>
  <si>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</si>
  <si>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</si>
  <si>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</si>
  <si>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</si>
  <si>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</si>
  <si>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</si>
  <si>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</si>
  <si>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</si>
  <si>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</si>
  <si>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</si>
  <si>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</si>
  <si>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</si>
  <si>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</si>
  <si>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</si>
  <si>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</si>
  <si>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</si>
  <si>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</si>
  <si>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</si>
  <si>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</si>
  <si>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</si>
  <si>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</si>
  <si>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</si>
  <si>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</si>
  <si>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</si>
  <si>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</si>
  <si>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</si>
  <si>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</si>
  <si>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</si>
  <si>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</si>
  <si>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</si>
  <si>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</si>
  <si>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</si>
  <si>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</si>
  <si>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</si>
  <si>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</si>
  <si>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</si>
  <si>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</si>
  <si>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</si>
  <si>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</si>
  <si>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</si>
  <si>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</si>
  <si>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</si>
  <si>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</si>
  <si>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</si>
  <si>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</si>
  <si>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</si>
  <si>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</si>
  <si>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</si>
  <si>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</si>
  <si>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</si>
  <si>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</si>
  <si>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</si>
  <si>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</si>
  <si>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</si>
  <si>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</si>
  <si>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</si>
  <si>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</si>
  <si>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</si>
  <si>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</si>
  <si>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</si>
  <si>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</si>
  <si>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</si>
  <si>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</si>
  <si>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</si>
  <si>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</si>
  <si>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</si>
  <si>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</si>
  <si>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</si>
  <si>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</si>
  <si>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</si>
  <si>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</si>
  <si>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</si>
  <si>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</si>
  <si>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</si>
  <si>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</si>
  <si>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</si>
  <si>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</si>
  <si>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</si>
  <si>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</si>
  <si>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</si>
  <si>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</si>
  <si>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</si>
  <si>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</si>
  <si>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</si>
  <si>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</si>
  <si>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</si>
  <si>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</si>
  <si>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</si>
  <si>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</si>
  <si>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</si>
  <si>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</si>
  <si>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</si>
  <si>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</si>
  <si>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</si>
  <si>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</si>
  <si>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</si>
  <si>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</si>
  <si>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</si>
  <si>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</si>
  <si>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</si>
  <si>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</si>
  <si>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</si>
  <si>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</si>
  <si>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</si>
  <si>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</si>
  <si>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</si>
  <si>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</si>
  <si>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</si>
  <si>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</si>
  <si>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</si>
  <si>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</si>
  <si>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</si>
  <si>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</si>
  <si>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</si>
  <si>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</si>
  <si>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</si>
  <si>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</si>
  <si>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</si>
  <si>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</si>
  <si>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</si>
  <si>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</si>
  <si>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</si>
  <si>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</si>
  <si>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</si>
  <si>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</si>
  <si>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</si>
  <si>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</si>
  <si>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</si>
  <si>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</si>
  <si>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</si>
  <si>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</si>
  <si>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</si>
  <si>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</si>
  <si>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</si>
  <si>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</si>
  <si>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</si>
  <si>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</si>
  <si>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</si>
  <si>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</si>
  <si>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</si>
  <si>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</si>
  <si>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</si>
  <si>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</si>
  <si>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</si>
  <si>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</si>
  <si>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</si>
  <si>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</si>
  <si>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</si>
  <si>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</si>
  <si>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</si>
  <si>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</si>
  <si>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</si>
  <si>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</si>
  <si>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</si>
  <si>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</si>
  <si>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</si>
  <si>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</si>
  <si>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</si>
  <si>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</si>
  <si>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</si>
  <si>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</si>
  <si>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</si>
  <si>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</si>
  <si>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</si>
  <si>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</si>
  <si>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</si>
  <si>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</si>
  <si>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</si>
  <si>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</si>
  <si>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</si>
  <si>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</si>
  <si>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</si>
  <si>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</si>
  <si>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</si>
  <si>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</si>
  <si>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</si>
  <si>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</si>
  <si>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</si>
  <si>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</si>
  <si>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</si>
  <si>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</si>
  <si>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</si>
  <si>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</si>
  <si>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</si>
  <si>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</si>
  <si>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</si>
  <si>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</si>
  <si>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</si>
  <si>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</si>
  <si>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</si>
  <si>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</si>
  <si>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</si>
  <si>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</si>
  <si>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</si>
  <si>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</si>
  <si>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</si>
  <si>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</si>
  <si>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</si>
  <si>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</si>
  <si>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</si>
  <si>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</si>
  <si>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</si>
  <si>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</si>
  <si>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</si>
  <si>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</si>
  <si>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</si>
  <si>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</si>
  <si>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</si>
  <si>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</si>
  <si>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</si>
  <si>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</si>
  <si>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</si>
  <si>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</si>
  <si>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</si>
  <si>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</si>
  <si>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</si>
  <si>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</si>
  <si>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</si>
  <si>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</si>
  <si>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</si>
  <si>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</si>
  <si>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</si>
  <si>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</si>
  <si>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</si>
  <si>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</si>
  <si>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</si>
  <si>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</si>
  <si>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</si>
  <si>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</si>
  <si>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</si>
  <si>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</si>
  <si>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</si>
  <si>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</si>
  <si>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</si>
  <si>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</si>
  <si>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</si>
  <si>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</si>
  <si>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</si>
  <si>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</si>
  <si>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</si>
  <si>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</si>
  <si>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</si>
  <si>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</si>
  <si>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</si>
  <si>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</si>
  <si>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</si>
  <si>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</si>
  <si>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</si>
  <si>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</si>
  <si>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</si>
  <si>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</si>
  <si>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</si>
  <si>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</si>
  <si>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</si>
  <si>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</si>
  <si>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</si>
  <si>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</si>
  <si>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</si>
  <si>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</si>
  <si>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</si>
  <si>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</si>
  <si>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</si>
  <si>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</si>
  <si>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</si>
  <si>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</si>
  <si>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</si>
  <si>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</si>
  <si>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</si>
  <si>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</si>
  <si>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</si>
  <si>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</si>
  <si>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</si>
  <si>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</si>
  <si>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</si>
  <si>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</si>
  <si>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</si>
  <si>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</si>
  <si>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</si>
  <si>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</si>
  <si>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</si>
  <si>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</si>
  <si>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</si>
  <si>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</si>
  <si>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</si>
  <si>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</si>
  <si>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</si>
  <si>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</si>
  <si>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</si>
  <si>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</si>
  <si>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</si>
  <si>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</si>
  <si>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</si>
  <si>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</si>
  <si>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</si>
  <si>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</si>
  <si>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</si>
  <si>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</si>
  <si>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</si>
  <si>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</si>
  <si>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</si>
  <si>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</si>
  <si>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</si>
  <si>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</si>
  <si>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</si>
  <si>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</si>
  <si>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</si>
  <si>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</si>
  <si>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</si>
  <si>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</si>
  <si>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</si>
  <si>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</si>
  <si>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</si>
  <si>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</si>
  <si>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</si>
  <si>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</si>
  <si>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</si>
  <si>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</si>
  <si>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</si>
  <si>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</si>
  <si>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</si>
  <si>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</si>
  <si>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</si>
  <si>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</si>
  <si>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</si>
  <si>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</si>
  <si>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</si>
  <si>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</si>
  <si>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</si>
  <si>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</si>
  <si>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</si>
  <si>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</si>
  <si>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</si>
  <si>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</si>
  <si>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</si>
  <si>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</si>
  <si>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</si>
  <si>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</si>
  <si>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</si>
  <si>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</si>
  <si>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</si>
  <si>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</si>
  <si>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</si>
  <si>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</si>
  <si>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</si>
  <si>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</si>
  <si>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</si>
  <si>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</si>
  <si>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</si>
  <si>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</si>
  <si>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</si>
  <si>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</si>
  <si>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</si>
  <si>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</si>
  <si>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</si>
  <si>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</si>
  <si>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</si>
  <si>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</si>
  <si>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</si>
  <si>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</si>
  <si>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</si>
  <si>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</si>
  <si>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</si>
  <si>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</si>
  <si>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</si>
  <si>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</si>
  <si>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</si>
  <si>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</si>
  <si>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</si>
  <si>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</si>
  <si>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</si>
  <si>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</si>
  <si>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</si>
  <si>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</si>
  <si>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</si>
  <si>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</si>
  <si>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</si>
  <si>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</si>
  <si>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</si>
  <si>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</si>
  <si>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</si>
  <si>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</si>
  <si>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</si>
  <si>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</si>
  <si>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</si>
  <si>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</si>
  <si>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</si>
  <si>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</si>
  <si>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</si>
  <si>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</si>
  <si>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</si>
  <si>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</si>
  <si>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</si>
  <si>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</si>
  <si>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</si>
  <si>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</si>
  <si>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</si>
  <si>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</si>
  <si>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</si>
  <si>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</si>
  <si>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</si>
  <si>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</si>
  <si>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</si>
  <si>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</si>
  <si>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</si>
  <si>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</si>
  <si>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</si>
  <si>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</si>
  <si>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</si>
  <si>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</si>
  <si>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</si>
  <si>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</si>
  <si>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</si>
  <si>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</si>
  <si>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</si>
  <si>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</si>
  <si>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</si>
  <si>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</si>
  <si>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</si>
  <si>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</si>
  <si>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</si>
  <si>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</si>
  <si>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</si>
  <si>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</si>
  <si>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</si>
  <si>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</si>
  <si>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</si>
  <si>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</si>
  <si>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</si>
  <si>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</si>
  <si>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</si>
  <si>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</si>
  <si>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</si>
  <si>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</si>
  <si>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</si>
  <si>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</si>
  <si>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</si>
  <si>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</si>
  <si>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</si>
  <si>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</si>
  <si>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</si>
  <si>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</si>
  <si>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</si>
  <si>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</si>
  <si>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</si>
  <si>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</si>
  <si>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</si>
  <si>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</si>
  <si>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</si>
  <si>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</si>
  <si>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</si>
  <si>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</si>
  <si>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</si>
  <si>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</si>
  <si>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</si>
  <si>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</si>
  <si>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</si>
  <si>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</si>
  <si>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</si>
  <si>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</si>
  <si>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</si>
  <si>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</si>
  <si>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</si>
  <si>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</si>
  <si>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</si>
  <si>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</si>
  <si>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</si>
  <si>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</si>
  <si>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</si>
  <si>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</si>
  <si>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</si>
  <si>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</si>
  <si>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</si>
  <si>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</si>
  <si>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</si>
  <si>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</si>
  <si>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</si>
  <si>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</si>
  <si>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</si>
  <si>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</si>
  <si>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</si>
  <si>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</si>
  <si>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</si>
  <si>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</si>
  <si>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</si>
  <si>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</si>
  <si>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</si>
  <si>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</si>
  <si>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</si>
  <si>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</si>
  <si>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</si>
  <si>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</si>
  <si>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</si>
  <si>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</si>
  <si>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</si>
  <si>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</si>
  <si>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</si>
  <si>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</si>
  <si>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</si>
  <si>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</si>
  <si>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</si>
  <si>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</si>
  <si>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</si>
  <si>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</si>
  <si>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</si>
  <si>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</si>
  <si>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</si>
  <si>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</si>
  <si>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</si>
  <si>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</si>
  <si>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</si>
  <si>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</si>
  <si>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</si>
  <si>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</si>
  <si>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</si>
  <si>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</si>
  <si>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</si>
  <si>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</si>
  <si>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</si>
  <si>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</si>
  <si>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</si>
  <si>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</si>
  <si>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</si>
  <si>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</si>
  <si>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</si>
  <si>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</si>
  <si>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</si>
  <si>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</si>
  <si>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</si>
  <si>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</si>
  <si>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</si>
  <si>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</si>
  <si>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</si>
  <si>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</si>
  <si>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</si>
  <si>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</si>
  <si>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</si>
  <si>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</si>
  <si>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</si>
  <si>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</si>
  <si>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</si>
  <si>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</si>
  <si>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</si>
  <si>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</si>
  <si>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</si>
  <si>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</si>
  <si>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</si>
  <si>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</si>
  <si>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</si>
  <si>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</si>
  <si>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</si>
  <si>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</si>
  <si>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</si>
  <si>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</si>
  <si>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</si>
  <si>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</si>
  <si>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</si>
  <si>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</si>
  <si>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</si>
  <si>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</si>
  <si>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</si>
  <si>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</si>
  <si>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</si>
  <si>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</si>
  <si>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</si>
  <si>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</si>
  <si>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</si>
  <si>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</si>
  <si>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</si>
  <si>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</si>
  <si>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</si>
  <si>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</si>
  <si>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</si>
  <si>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</si>
  <si>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</si>
  <si>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</si>
  <si>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</si>
  <si>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</si>
  <si>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</si>
  <si>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</si>
  <si>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</si>
  <si>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</si>
  <si>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</si>
  <si>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</si>
  <si>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</si>
  <si>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</si>
  <si>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</si>
  <si>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</si>
  <si>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</si>
  <si>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</si>
  <si>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</si>
  <si>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</si>
  <si>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</si>
  <si>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</si>
  <si>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</si>
  <si>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</si>
  <si>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</si>
  <si>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</si>
  <si>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</si>
  <si>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</si>
  <si>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</si>
  <si>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</si>
  <si>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</si>
  <si>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</si>
  <si>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</si>
  <si>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</si>
  <si>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</si>
  <si>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</si>
  <si>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</si>
  <si>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</si>
  <si>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</si>
  <si>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</si>
  <si>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</si>
  <si>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</si>
  <si>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</si>
  <si>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</si>
  <si>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</si>
  <si>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</si>
  <si>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</si>
  <si>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</si>
  <si>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</si>
  <si>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</si>
  <si>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</si>
  <si>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</si>
  <si>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</si>
  <si>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</si>
  <si>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</si>
  <si>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</si>
  <si>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</si>
  <si>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</si>
  <si>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</si>
  <si>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</si>
  <si>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</si>
  <si>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</si>
  <si>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</si>
  <si>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</si>
  <si>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</si>
  <si>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</si>
  <si>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</si>
  <si>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</si>
  <si>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</si>
  <si>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</si>
  <si>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</si>
  <si>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</si>
  <si>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</si>
  <si>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</si>
  <si>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</si>
  <si>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</si>
  <si>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</si>
  <si>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</si>
  <si>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</si>
  <si>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</si>
  <si>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</si>
  <si>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</si>
  <si>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</si>
  <si>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</si>
  <si>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</si>
  <si>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</si>
  <si>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</si>
  <si>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</si>
  <si>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</si>
  <si>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</si>
  <si>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</si>
  <si>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</si>
  <si>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</si>
  <si>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</si>
  <si>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</si>
  <si>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</si>
  <si>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</si>
  <si>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</si>
  <si>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</si>
  <si>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</si>
  <si>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</si>
  <si>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</si>
  <si>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</si>
  <si>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</si>
  <si>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</si>
  <si>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</si>
  <si>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</si>
  <si>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</si>
  <si>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</si>
  <si>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</si>
  <si>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</si>
  <si>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</si>
  <si>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</si>
  <si>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</si>
  <si>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</si>
  <si>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</si>
  <si>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</si>
  <si>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</si>
  <si>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</si>
  <si>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</si>
  <si>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</si>
  <si>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</si>
  <si>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</si>
  <si>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</si>
  <si>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</si>
  <si>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</si>
  <si>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</si>
  <si>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</si>
  <si>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</si>
  <si>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</si>
  <si>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</si>
  <si>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</si>
  <si>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</si>
  <si>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</si>
  <si>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</si>
  <si>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</si>
  <si>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</si>
  <si>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</si>
  <si>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</si>
  <si>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</si>
  <si>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</si>
  <si>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</si>
  <si>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</si>
  <si>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</si>
  <si>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</si>
  <si>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</si>
  <si>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</si>
  <si>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</si>
  <si>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</si>
  <si>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</si>
  <si>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</si>
  <si>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</si>
  <si>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</si>
  <si>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</si>
  <si>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</si>
  <si>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</si>
  <si>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</si>
  <si>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</si>
  <si>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</si>
  <si>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</si>
  <si>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</si>
  <si>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</si>
  <si>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</si>
  <si>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</si>
  <si>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</si>
  <si>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</si>
  <si>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</si>
  <si>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</si>
  <si>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</si>
  <si>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</si>
  <si>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</si>
  <si>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</si>
  <si>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</si>
  <si>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</si>
  <si>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</si>
  <si>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</si>
  <si>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</si>
  <si>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</si>
  <si>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</si>
  <si>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</si>
  <si>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</si>
  <si>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</si>
  <si>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</si>
  <si>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</si>
  <si>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</si>
  <si>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</si>
  <si>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</si>
  <si>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</si>
  <si>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</si>
  <si>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</si>
  <si>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</si>
  <si>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</si>
  <si>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</si>
  <si>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</si>
  <si>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</si>
  <si>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</si>
  <si>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</si>
  <si>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</si>
  <si>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</si>
  <si>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</si>
  <si>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</si>
  <si>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</si>
  <si>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</si>
  <si>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</si>
  <si>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</si>
  <si>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</si>
  <si>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</si>
  <si>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</si>
  <si>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</si>
  <si>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</si>
  <si>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</si>
  <si>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</si>
  <si>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</si>
  <si>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</si>
  <si>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</si>
  <si>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</si>
  <si>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</si>
  <si>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</si>
  <si>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</si>
  <si>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</si>
  <si>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</si>
  <si>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</si>
  <si>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</si>
  <si>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</si>
  <si>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</si>
  <si>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</si>
  <si>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</si>
  <si>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</si>
  <si>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</si>
  <si>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</si>
  <si>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</si>
  <si>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</si>
  <si>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</si>
  <si>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</si>
  <si>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</si>
  <si>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</si>
  <si>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</si>
  <si>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</si>
  <si>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</si>
  <si>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</si>
  <si>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</si>
  <si>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</si>
  <si>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</si>
  <si>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</si>
  <si>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</si>
  <si>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</si>
  <si>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</si>
  <si>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</si>
  <si>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</si>
  <si>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</si>
  <si>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</si>
  <si>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</si>
  <si>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</si>
  <si>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</si>
  <si>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</si>
  <si>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</si>
  <si>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</si>
  <si>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</si>
  <si>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</si>
  <si>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</si>
  <si>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</si>
  <si>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</si>
  <si>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</si>
  <si>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</si>
  <si>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</si>
  <si>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</si>
  <si>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</si>
  <si>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</si>
  <si>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</si>
  <si>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</si>
  <si>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</si>
  <si>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</si>
  <si>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</si>
  <si>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</si>
  <si>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</si>
  <si>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</si>
  <si>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</si>
  <si>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</si>
  <si>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</si>
  <si>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</si>
  <si>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</si>
  <si>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</si>
  <si>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</si>
  <si>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</si>
  <si>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</si>
  <si>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</si>
  <si>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</si>
  <si>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</si>
  <si>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</si>
  <si>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</si>
  <si>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</si>
  <si>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</si>
  <si>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</si>
  <si>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</si>
  <si>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</si>
  <si>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</si>
  <si>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</si>
  <si>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</si>
  <si>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</si>
  <si>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</si>
  <si>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</si>
  <si>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</si>
  <si>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</si>
  <si>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</si>
  <si>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</si>
  <si>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</si>
  <si>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</si>
  <si>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</si>
  <si>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</si>
  <si>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</si>
  <si>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</si>
  <si>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</si>
  <si>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</si>
  <si>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</si>
  <si>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</si>
  <si>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</si>
  <si>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</si>
  <si>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</si>
  <si>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</si>
  <si>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</si>
  <si>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</si>
  <si>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</si>
  <si>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</si>
  <si>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</si>
  <si>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</si>
  <si>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</si>
  <si>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</si>
  <si>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</si>
  <si>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</si>
  <si>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</si>
  <si>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</si>
  <si>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</si>
  <si>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</si>
  <si>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</si>
  <si>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</si>
  <si>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</si>
  <si>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</si>
  <si>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</si>
  <si>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</si>
  <si>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</si>
  <si>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</si>
  <si>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</si>
  <si>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</si>
  <si>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</si>
  <si>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</si>
  <si>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</si>
  <si>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</si>
  <si>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</si>
  <si>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</si>
  <si>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</si>
  <si>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</si>
  <si>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</si>
  <si>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</si>
  <si>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</si>
  <si>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</si>
  <si>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</si>
  <si>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</si>
  <si>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</si>
  <si>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</si>
  <si>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</si>
  <si>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</si>
  <si>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</si>
  <si>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</si>
  <si>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</si>
  <si>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</si>
  <si>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</si>
  <si>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</si>
  <si>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</si>
  <si>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</si>
  <si>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</si>
  <si>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</si>
  <si>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</si>
  <si>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</si>
  <si>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</si>
  <si>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</si>
  <si>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</si>
  <si>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</si>
  <si>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</si>
  <si>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</si>
  <si>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</si>
  <si>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</si>
  <si>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</si>
  <si>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</si>
  <si>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</si>
  <si>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</si>
  <si>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</si>
  <si>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</si>
  <si>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</si>
  <si>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</si>
  <si>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</si>
  <si>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</si>
  <si>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</si>
  <si>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</si>
  <si>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</si>
  <si>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</si>
  <si>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</si>
  <si>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</si>
  <si>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</si>
  <si>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</si>
  <si>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</si>
  <si>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</si>
  <si>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</si>
  <si>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</si>
  <si>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</si>
  <si>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</si>
  <si>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</si>
  <si>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</si>
  <si>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</si>
  <si>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</si>
  <si>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</si>
  <si>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</si>
  <si>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</si>
  <si>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</si>
  <si>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</si>
  <si>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</si>
  <si>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</si>
  <si>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</si>
  <si>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</si>
  <si>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</si>
  <si>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</si>
  <si>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</si>
  <si>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</si>
  <si>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</si>
  <si>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</si>
  <si>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</si>
  <si>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</si>
  <si>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</si>
  <si>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</si>
  <si>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</si>
  <si>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</si>
  <si>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</si>
  <si>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</si>
  <si>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</si>
  <si>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</si>
  <si>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</si>
  <si>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</si>
  <si>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</si>
  <si>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</si>
  <si>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</si>
  <si>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</si>
  <si>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</si>
  <si>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</si>
  <si>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</si>
  <si>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</si>
  <si>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</si>
  <si>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</si>
  <si>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</si>
  <si>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</si>
  <si>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</si>
  <si>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</si>
  <si>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</si>
  <si>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</si>
  <si>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</si>
  <si>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</si>
  <si>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</si>
  <si>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</si>
  <si>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</si>
  <si>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</si>
  <si>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</si>
  <si>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</si>
  <si>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</si>
  <si>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</si>
  <si>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</si>
  <si>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</si>
  <si>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</si>
  <si>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</si>
  <si>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</si>
  <si>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</si>
  <si>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</si>
  <si>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</si>
  <si>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</si>
  <si>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</si>
  <si>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</si>
  <si>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</si>
  <si>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</si>
  <si>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</si>
  <si>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</si>
  <si>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</si>
  <si>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</si>
  <si>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</si>
  <si>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</si>
  <si>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</si>
  <si>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</si>
  <si>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</si>
  <si>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</si>
  <si>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</si>
  <si>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</si>
  <si>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</si>
  <si>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</si>
  <si>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</si>
  <si>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</si>
  <si>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</si>
  <si>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</si>
  <si>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</si>
  <si>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</si>
  <si>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</si>
  <si>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</si>
  <si>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</si>
  <si>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</si>
  <si>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</si>
  <si>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</si>
  <si>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</si>
  <si>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</si>
  <si>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</si>
  <si>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</si>
  <si>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</si>
  <si>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</si>
  <si>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</si>
  <si>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</si>
  <si>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</si>
  <si>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</si>
  <si>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</si>
  <si>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</si>
  <si>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</si>
  <si>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</si>
  <si>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</si>
  <si>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</si>
  <si>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</si>
  <si>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</si>
  <si>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</si>
  <si>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</si>
  <si>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</si>
  <si>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</si>
  <si>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</si>
  <si>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</si>
  <si>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</si>
  <si>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</si>
  <si>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</si>
  <si>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</si>
  <si>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</si>
  <si>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</si>
  <si>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</si>
  <si>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</si>
  <si>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</si>
  <si>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</si>
  <si>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</si>
  <si>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</si>
  <si>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</si>
  <si>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</si>
  <si>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</si>
  <si>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</si>
  <si>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</si>
  <si>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</si>
  <si>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</si>
  <si>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</si>
  <si>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</si>
  <si>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</si>
  <si>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</si>
  <si>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</si>
  <si>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</si>
  <si>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</si>
  <si>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</si>
  <si>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</si>
  <si>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</si>
  <si>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</si>
  <si>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</si>
  <si>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</si>
  <si>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</si>
  <si>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</si>
  <si>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</si>
  <si>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</si>
  <si>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</si>
  <si>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</si>
  <si>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</si>
  <si>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</si>
  <si>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</si>
  <si>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</si>
  <si>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</si>
  <si>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</si>
  <si>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</si>
  <si>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</si>
  <si>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</si>
  <si>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</si>
  <si>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</si>
  <si>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</si>
  <si>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</si>
  <si>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</si>
  <si>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</si>
  <si>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</si>
  <si>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</si>
  <si>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</si>
  <si>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</si>
  <si>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</si>
  <si>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</si>
  <si>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</si>
  <si>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</si>
  <si>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</si>
  <si>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</si>
  <si>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</si>
  <si>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</si>
  <si>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</si>
  <si>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</si>
  <si>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</si>
  <si>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</si>
  <si>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</si>
  <si>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</si>
  <si>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</si>
  <si>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</si>
  <si>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</si>
  <si>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</si>
  <si>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</si>
  <si>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</si>
  <si>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</si>
  <si>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</si>
  <si>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</si>
  <si>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</si>
  <si>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</si>
  <si>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</si>
  <si>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</si>
  <si>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</si>
  <si>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</si>
  <si>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</si>
  <si>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</si>
  <si>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</si>
  <si>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</si>
  <si>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</si>
  <si>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</si>
  <si>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</si>
  <si>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</si>
  <si>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</si>
  <si>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</si>
  <si>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</si>
  <si>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</si>
  <si>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</si>
  <si>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</si>
  <si>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</si>
  <si>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</si>
  <si>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</si>
  <si>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</si>
  <si>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</si>
  <si>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</si>
  <si>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</si>
  <si>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</si>
  <si>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</si>
  <si>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</si>
  <si>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</si>
  <si>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</si>
  <si>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</si>
  <si>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</si>
  <si>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</si>
  <si>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</si>
  <si>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</si>
  <si>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</si>
  <si>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</si>
  <si>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</si>
  <si>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</si>
  <si>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</si>
  <si>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</si>
  <si>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</si>
  <si>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</si>
  <si>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</si>
  <si>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</si>
  <si>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</si>
  <si>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</si>
  <si>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</si>
  <si>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</si>
  <si>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</si>
  <si>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</si>
  <si>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</si>
  <si>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</si>
  <si>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</si>
  <si>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</si>
  <si>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</si>
  <si>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</si>
  <si>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</si>
  <si>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</si>
  <si>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</si>
  <si>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</si>
  <si>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</si>
  <si>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</si>
  <si>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</si>
  <si>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</si>
  <si>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</si>
  <si>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</si>
  <si>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</si>
  <si>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</si>
  <si>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</si>
  <si>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</si>
  <si>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</si>
  <si>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</si>
  <si>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</si>
  <si>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</si>
  <si>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</si>
  <si>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</si>
  <si>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</si>
  <si>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</si>
  <si>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</si>
  <si>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</si>
  <si>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</si>
  <si>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</si>
  <si>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</si>
  <si>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</si>
  <si>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</si>
  <si>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</si>
  <si>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</si>
  <si>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</si>
  <si>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</si>
  <si>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</si>
  <si>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</si>
  <si>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</si>
  <si>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</si>
  <si>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</si>
  <si>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</si>
  <si>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</si>
  <si>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</si>
  <si>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</si>
  <si>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</si>
  <si>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</si>
  <si>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</si>
  <si>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</si>
  <si>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</si>
  <si>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</si>
  <si>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</si>
  <si>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</si>
  <si>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</si>
  <si>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</si>
  <si>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</si>
  <si>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</si>
  <si>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</si>
  <si>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</si>
  <si>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</si>
  <si>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</si>
  <si>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</si>
  <si>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</si>
  <si>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</si>
  <si>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</si>
  <si>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</si>
  <si>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</si>
  <si>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</si>
  <si>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</si>
  <si>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</si>
  <si>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</si>
  <si>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</si>
  <si>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</si>
  <si>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</si>
  <si>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</si>
  <si>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</si>
  <si>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</si>
  <si>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</si>
  <si>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</si>
  <si>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</si>
  <si>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</si>
  <si>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</si>
  <si>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</si>
  <si>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</si>
  <si>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</si>
  <si>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</si>
  <si>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</si>
  <si>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</si>
  <si>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</si>
  <si>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</si>
  <si>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</si>
  <si>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</si>
  <si>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</si>
  <si>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</si>
  <si>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</si>
  <si>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</si>
  <si>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</si>
  <si>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</si>
  <si>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</si>
  <si>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</si>
  <si>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</si>
  <si>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</si>
  <si>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</si>
  <si>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</si>
  <si>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</si>
  <si>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</si>
  <si>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</si>
  <si>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</si>
  <si>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</si>
  <si>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</si>
  <si>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</si>
  <si>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</si>
  <si>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</si>
  <si>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</si>
  <si>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</si>
  <si>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</si>
  <si>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</si>
  <si>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</si>
  <si>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</si>
  <si>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</si>
  <si>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</si>
  <si>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</si>
  <si>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</si>
  <si>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</si>
  <si>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</si>
  <si>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</si>
  <si>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</si>
  <si>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</si>
  <si>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</si>
  <si>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</si>
  <si>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</si>
  <si>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</si>
  <si>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</si>
  <si>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</si>
  <si>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</si>
  <si>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</si>
  <si>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</si>
  <si>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</si>
  <si>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</si>
  <si>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</si>
  <si>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</si>
  <si>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</si>
  <si>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</si>
  <si>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</si>
  <si>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</si>
  <si>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</si>
  <si>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</si>
  <si>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</si>
  <si>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</si>
  <si>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</si>
  <si>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</si>
  <si>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</si>
  <si>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</si>
  <si>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</si>
  <si>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</si>
  <si>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</si>
  <si>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</si>
  <si>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</si>
  <si>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</si>
  <si>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</si>
  <si>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</si>
  <si>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</si>
  <si>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</si>
  <si>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</si>
  <si>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</si>
  <si>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</si>
  <si>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</si>
  <si>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</si>
  <si>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</si>
  <si>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</si>
  <si>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</si>
  <si>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</si>
  <si>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</si>
  <si>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</si>
  <si>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</si>
  <si>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</si>
  <si>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</si>
  <si>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</si>
  <si>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</si>
  <si>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</si>
  <si>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</si>
  <si>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</si>
  <si>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</si>
  <si>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</si>
  <si>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</si>
  <si>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</si>
  <si>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</si>
  <si>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</si>
  <si>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</si>
  <si>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</si>
  <si>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</si>
  <si>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</si>
  <si>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</si>
  <si>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</si>
  <si>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</si>
  <si>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</si>
  <si>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</si>
  <si>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</si>
  <si>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</si>
  <si>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</si>
  <si>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</si>
  <si>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</si>
  <si>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</si>
  <si>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</si>
  <si>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</si>
  <si>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</si>
  <si>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</si>
  <si>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</si>
  <si>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</si>
  <si>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</si>
  <si>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</si>
  <si>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</si>
  <si>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</si>
  <si>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</si>
  <si>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</si>
  <si>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</si>
  <si>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</si>
  <si>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</si>
  <si>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</si>
  <si>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</si>
  <si>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</si>
  <si>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</si>
  <si>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</si>
  <si>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</si>
  <si>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</si>
  <si>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</si>
  <si>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</si>
  <si>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</si>
  <si>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</si>
  <si>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</si>
  <si>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</si>
  <si>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</si>
  <si>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</si>
  <si>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</si>
  <si>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</si>
  <si>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</si>
  <si>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</si>
  <si>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</si>
  <si>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</si>
  <si>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</si>
  <si>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</si>
  <si>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</si>
  <si>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</si>
  <si>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</si>
  <si>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</si>
  <si>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</si>
  <si>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</si>
  <si>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</si>
  <si>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</si>
  <si>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</si>
  <si>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</si>
  <si>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</si>
  <si>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</si>
  <si>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</si>
  <si>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</si>
  <si>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</si>
  <si>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</si>
  <si>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</si>
  <si>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</si>
  <si>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</si>
  <si>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</si>
  <si>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</si>
  <si>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</si>
  <si>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</si>
  <si>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</si>
  <si>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</si>
  <si>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</si>
  <si>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</si>
  <si>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</si>
  <si>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</si>
  <si>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</si>
  <si>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</si>
  <si>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</si>
  <si>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</si>
  <si>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</si>
  <si>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</si>
  <si>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</si>
  <si>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</si>
  <si>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</si>
  <si>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</si>
  <si>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</si>
  <si>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</si>
  <si>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</si>
  <si>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</si>
  <si>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</si>
  <si>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</si>
  <si>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</si>
  <si>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</si>
  <si>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</si>
  <si>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</si>
  <si>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</si>
  <si>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</si>
  <si>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</si>
  <si>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</si>
  <si>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</si>
  <si>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</si>
  <si>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</si>
  <si>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</si>
  <si>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</si>
  <si>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</si>
  <si>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</si>
  <si>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</si>
  <si>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</si>
  <si>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</si>
  <si>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</si>
  <si>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</si>
  <si>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</si>
  <si>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</si>
  <si>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</si>
  <si>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</si>
  <si>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</si>
  <si>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</si>
  <si>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</si>
  <si>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</si>
  <si>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</si>
  <si>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</si>
  <si>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</si>
  <si>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</si>
  <si>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</si>
  <si>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</si>
  <si>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</si>
  <si>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</si>
  <si>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</si>
  <si>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</si>
  <si>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</si>
  <si>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</si>
  <si>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</si>
  <si>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</si>
  <si>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</si>
  <si>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</si>
  <si>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</si>
  <si>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</si>
  <si>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</si>
  <si>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</si>
  <si>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</si>
  <si>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</si>
  <si>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</si>
  <si>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</si>
  <si>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</si>
  <si>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</si>
  <si>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</si>
  <si>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</si>
  <si>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</si>
  <si>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</si>
  <si>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</si>
  <si>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</si>
  <si>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</si>
  <si>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</si>
  <si>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</si>
  <si>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</si>
  <si>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</si>
  <si>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</si>
  <si>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</si>
  <si>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</si>
  <si>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</si>
  <si>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</si>
  <si>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</si>
  <si>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</si>
  <si>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</si>
  <si>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</si>
  <si>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</si>
  <si>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</si>
  <si>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</si>
  <si>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</si>
  <si>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</si>
  <si>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</si>
  <si>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</si>
  <si>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</si>
  <si>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</si>
  <si>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</si>
  <si>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</si>
  <si>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</si>
  <si>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</si>
  <si>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</si>
  <si>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</si>
  <si>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</si>
  <si>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</si>
  <si>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</si>
  <si>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</si>
  <si>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</si>
  <si>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</si>
  <si>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</si>
  <si>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</si>
  <si>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</si>
  <si>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</si>
  <si>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</si>
  <si>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</si>
  <si>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</si>
  <si>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</si>
  <si>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</si>
  <si>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</si>
  <si>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</si>
  <si>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</si>
  <si>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</si>
  <si>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</si>
  <si>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</si>
  <si>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</si>
  <si>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</si>
  <si>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</si>
  <si>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</si>
  <si>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</si>
  <si>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</si>
  <si>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</si>
  <si>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</si>
  <si>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</si>
  <si>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</si>
  <si>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</si>
  <si>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</si>
  <si>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</si>
  <si>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</si>
  <si>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</si>
  <si>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</si>
  <si>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</si>
  <si>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</si>
  <si>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</si>
  <si>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</si>
  <si>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</si>
  <si>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</si>
  <si>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</si>
  <si>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</si>
  <si>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</si>
  <si>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</si>
  <si>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</si>
  <si>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</si>
  <si>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</si>
  <si>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</si>
  <si>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</si>
  <si>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</si>
  <si>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</si>
  <si>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</si>
  <si>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</si>
  <si>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</si>
  <si>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</si>
  <si>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</si>
  <si>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</si>
  <si>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</si>
  <si>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</si>
  <si>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</si>
  <si>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</si>
  <si>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</si>
  <si>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</si>
  <si>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</si>
  <si>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</si>
  <si>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</si>
  <si>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</si>
  <si>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</si>
  <si>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</si>
  <si>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</si>
  <si>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</si>
  <si>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</si>
  <si>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</si>
  <si>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</si>
  <si>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</si>
  <si>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</si>
  <si>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</si>
  <si>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</si>
  <si>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</si>
  <si>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</si>
  <si>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</si>
  <si>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</si>
  <si>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</si>
  <si>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</si>
  <si>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</si>
  <si>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</si>
  <si>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</si>
  <si>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</si>
  <si>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</si>
  <si>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</si>
  <si>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</si>
  <si>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</si>
  <si>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</si>
  <si>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</si>
  <si>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</si>
  <si>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</si>
  <si>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</si>
  <si>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</si>
  <si>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</si>
  <si>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</si>
  <si>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</si>
  <si>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</si>
  <si>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</si>
  <si>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</si>
  <si>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</si>
  <si>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</si>
  <si>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</si>
  <si>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</si>
  <si>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</si>
  <si>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</si>
  <si>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</si>
  <si>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</si>
  <si>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</si>
  <si>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</si>
  <si>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</si>
  <si>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</si>
  <si>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</si>
  <si>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</si>
  <si>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</si>
  <si>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</si>
  <si>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</si>
  <si>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</si>
  <si>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</si>
  <si>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</si>
  <si>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</si>
  <si>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</si>
  <si>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</si>
  <si>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</si>
  <si>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</si>
  <si>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</si>
  <si>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</si>
  <si>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</si>
  <si>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</si>
  <si>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</si>
  <si>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</si>
  <si>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</si>
  <si>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</si>
  <si>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</si>
  <si>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</si>
  <si>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</si>
  <si>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</si>
  <si>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</si>
  <si>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</si>
  <si>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</si>
  <si>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</si>
  <si>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</si>
  <si>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</si>
  <si>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</si>
  <si>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</si>
  <si>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</si>
  <si>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</si>
  <si>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</si>
  <si>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</si>
  <si>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</si>
  <si>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</si>
  <si>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</si>
  <si>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</si>
  <si>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</si>
  <si>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</si>
  <si>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</si>
  <si>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</si>
  <si>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</si>
  <si>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</si>
  <si>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</si>
  <si>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</si>
  <si>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</si>
  <si>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</si>
  <si>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</si>
  <si>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</si>
  <si>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</si>
  <si>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</si>
  <si>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</si>
  <si>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</si>
  <si>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</si>
  <si>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</si>
  <si>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</si>
  <si>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</si>
  <si>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</si>
  <si>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</si>
  <si>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</si>
  <si>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</si>
  <si>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</si>
  <si>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</si>
  <si>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</si>
  <si>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</si>
  <si>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</si>
  <si>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</si>
  <si>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</si>
  <si>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</si>
  <si>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</si>
  <si>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</si>
  <si>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</si>
  <si>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</si>
  <si>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</si>
  <si>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</si>
  <si>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</si>
  <si>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</si>
  <si>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</si>
  <si>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</si>
  <si>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</si>
  <si>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</si>
  <si>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</si>
  <si>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</si>
  <si>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</si>
  <si>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</si>
  <si>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</si>
  <si>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</si>
  <si>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</si>
  <si>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</si>
  <si>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</si>
  <si>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</si>
  <si>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</si>
  <si>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</si>
  <si>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</si>
  <si>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</si>
  <si>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</si>
  <si>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</si>
  <si>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</si>
  <si>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</si>
  <si>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</si>
  <si>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</si>
  <si>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</si>
  <si>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</si>
  <si>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</si>
  <si>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</si>
  <si>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</si>
  <si>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</si>
  <si>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</si>
  <si>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</si>
  <si>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</si>
  <si>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</si>
  <si>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</si>
  <si>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</si>
  <si>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</si>
  <si>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</si>
  <si>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</si>
  <si>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</si>
  <si>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</si>
  <si>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</si>
  <si>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</si>
  <si>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</si>
  <si>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</si>
  <si>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</si>
  <si>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</si>
  <si>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</si>
  <si>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</si>
  <si>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</si>
  <si>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</si>
  <si>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</si>
  <si>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</si>
  <si>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</si>
  <si>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</si>
  <si>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</si>
  <si>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</si>
  <si>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</si>
  <si>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</si>
  <si>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</si>
  <si>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</si>
  <si>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</si>
  <si>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</si>
  <si>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</si>
  <si>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</si>
  <si>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</si>
  <si>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</si>
  <si>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</si>
  <si>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</si>
  <si>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</si>
  <si>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</si>
  <si>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</si>
  <si>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</si>
  <si>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</si>
  <si>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</si>
  <si>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</si>
  <si>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</si>
  <si>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</si>
  <si>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</si>
  <si>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</si>
  <si>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</si>
  <si>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</si>
  <si>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</si>
  <si>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</si>
  <si>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</si>
  <si>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</si>
  <si>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</si>
  <si>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</si>
  <si>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</si>
  <si>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</si>
  <si>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</si>
  <si>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</si>
  <si>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</si>
  <si>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</si>
  <si>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</si>
  <si>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</si>
  <si>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</si>
  <si>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</si>
  <si>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</si>
  <si>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</si>
  <si>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</si>
  <si>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</si>
  <si>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</si>
  <si>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</si>
  <si>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</si>
  <si>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</si>
  <si>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</si>
  <si>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</si>
  <si>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</si>
  <si>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</si>
  <si>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</si>
  <si>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</si>
  <si>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</si>
  <si>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</si>
  <si>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</si>
  <si>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</si>
  <si>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</si>
  <si>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</si>
  <si>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</si>
  <si>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</si>
  <si>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</si>
  <si>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</si>
  <si>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</si>
  <si>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</si>
  <si>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</si>
  <si>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</si>
  <si>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</si>
  <si>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</si>
  <si>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</si>
  <si>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</si>
  <si>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</si>
  <si>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</si>
  <si>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</si>
  <si>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</si>
  <si>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</si>
  <si>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</si>
  <si>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</si>
  <si>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</si>
  <si>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</si>
  <si>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</si>
  <si>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</si>
  <si>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</si>
  <si>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</si>
  <si>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</si>
  <si>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</si>
  <si>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</si>
  <si>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</si>
  <si>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</si>
  <si>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</si>
  <si>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</si>
  <si>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</si>
  <si>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</si>
  <si>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</si>
  <si>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</si>
  <si>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</si>
  <si>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</si>
  <si>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</si>
  <si>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</si>
  <si>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</si>
  <si>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</si>
  <si>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</si>
  <si>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</si>
  <si>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</si>
  <si>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</si>
  <si>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</si>
  <si>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</si>
  <si>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</si>
  <si>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</si>
  <si>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</si>
  <si>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</si>
  <si>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</si>
  <si>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</si>
  <si>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</si>
  <si>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</si>
  <si>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</si>
  <si>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</si>
  <si>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</si>
  <si>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</si>
  <si>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</si>
  <si>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</si>
  <si>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</si>
  <si>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</si>
  <si>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</si>
  <si>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</si>
  <si>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</si>
  <si>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</si>
  <si>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</si>
  <si>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</si>
  <si>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</si>
  <si>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</si>
  <si>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</si>
  <si>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</si>
  <si>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</si>
  <si>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</si>
  <si>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</si>
  <si>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</si>
  <si>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</si>
  <si>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</si>
  <si>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</si>
  <si>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</si>
  <si>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</si>
  <si>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</si>
  <si>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</si>
  <si>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</si>
  <si>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</si>
  <si>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</si>
  <si>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</si>
  <si>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</si>
  <si>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</si>
  <si>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</si>
  <si>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</si>
  <si>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</si>
  <si>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</si>
  <si>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</si>
  <si>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</si>
  <si>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</si>
  <si>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</si>
  <si>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</si>
  <si>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</si>
  <si>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</si>
  <si>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</si>
  <si>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</si>
  <si>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</si>
  <si>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</si>
  <si>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</si>
  <si>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</si>
  <si>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</si>
  <si>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</si>
  <si>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</si>
  <si>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</si>
  <si>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</si>
  <si>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</si>
  <si>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</si>
  <si>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</si>
  <si>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</si>
  <si>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</si>
  <si>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</si>
  <si>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</si>
  <si>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</si>
  <si>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</si>
  <si>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</si>
  <si>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</si>
  <si>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</si>
  <si>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</si>
  <si>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</si>
  <si>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</si>
  <si>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</si>
  <si>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</si>
  <si>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</si>
  <si>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</si>
  <si>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</si>
  <si>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</si>
  <si>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</si>
  <si>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</si>
  <si>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</si>
  <si>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</si>
  <si>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</si>
  <si>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</si>
  <si>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</si>
  <si>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</si>
  <si>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</si>
  <si>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</si>
  <si>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</si>
  <si>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</si>
  <si>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</si>
  <si>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</si>
  <si>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</si>
  <si>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</si>
  <si>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</si>
  <si>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</si>
  <si>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</si>
  <si>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</si>
  <si>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</si>
  <si>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</si>
  <si>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</si>
  <si>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</si>
  <si>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</si>
  <si>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</si>
  <si>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</si>
  <si>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</si>
  <si>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</si>
  <si>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</si>
  <si>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</si>
  <si>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</si>
  <si>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</si>
  <si>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</si>
  <si>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</si>
  <si>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</si>
  <si>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</si>
  <si>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</si>
  <si>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</si>
  <si>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</si>
  <si>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</si>
  <si>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</si>
  <si>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</si>
  <si>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</si>
  <si>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</si>
  <si>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</si>
  <si>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</si>
  <si>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</si>
  <si>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</si>
  <si>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</si>
  <si>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</si>
  <si>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</si>
  <si>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</si>
  <si>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</si>
  <si>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</si>
  <si>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</si>
  <si>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</si>
  <si>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</si>
  <si>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</si>
  <si>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</si>
  <si>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</si>
  <si>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</si>
  <si>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</si>
  <si>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</si>
  <si>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</si>
  <si>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</si>
  <si>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</si>
  <si>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</si>
  <si>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</si>
  <si>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</si>
  <si>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</si>
  <si>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</si>
  <si>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</si>
  <si>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</si>
  <si>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</si>
  <si>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</si>
  <si>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</si>
  <si>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</si>
  <si>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</si>
  <si>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</si>
  <si>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</si>
  <si>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</si>
  <si>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</si>
  <si>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</si>
  <si>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</si>
  <si>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</si>
  <si>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</si>
  <si>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</si>
  <si>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</si>
  <si>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</si>
  <si>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</si>
  <si>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</si>
  <si>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</si>
  <si>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</si>
  <si>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</si>
  <si>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</si>
  <si>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</si>
  <si>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</si>
  <si>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</si>
  <si>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</si>
  <si>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</si>
  <si>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</si>
  <si>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</si>
  <si>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</si>
  <si>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</si>
  <si>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</si>
  <si>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</si>
  <si>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</si>
  <si>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</si>
  <si>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</si>
  <si>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</si>
  <si>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</si>
  <si>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</si>
  <si>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</si>
  <si>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</si>
  <si>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</si>
  <si>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</si>
  <si>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</si>
  <si>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</si>
  <si>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</si>
  <si>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</si>
  <si>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</si>
  <si>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</si>
  <si>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</si>
  <si>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</si>
  <si>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</si>
  <si>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</si>
  <si>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</si>
  <si>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</si>
  <si>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</si>
  <si>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</si>
  <si>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</si>
  <si>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</si>
  <si>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</si>
  <si>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</si>
  <si>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</si>
  <si>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</si>
  <si>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</si>
  <si>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</si>
  <si>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</si>
  <si>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</si>
  <si>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</si>
  <si>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</si>
  <si>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</si>
  <si>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</si>
  <si>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</si>
  <si>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</si>
  <si>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</si>
  <si>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</si>
  <si>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</si>
  <si>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</si>
  <si>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</si>
  <si>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</si>
  <si>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</si>
  <si>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</si>
  <si>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</si>
  <si>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</si>
  <si>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</si>
  <si>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</si>
  <si>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</si>
  <si>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</si>
  <si>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</si>
  <si>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</si>
  <si>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</si>
  <si>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</si>
  <si>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</si>
  <si>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</si>
  <si>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</si>
  <si>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</si>
  <si>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</si>
  <si>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</si>
  <si>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</si>
  <si>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</si>
  <si>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</si>
  <si>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</si>
  <si>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</si>
  <si>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</si>
  <si>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</si>
  <si>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</si>
  <si>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</si>
  <si>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</si>
  <si>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</si>
  <si>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</si>
  <si>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</si>
  <si>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</si>
  <si>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</si>
  <si>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</si>
  <si>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</si>
  <si>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</si>
  <si>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</si>
  <si>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</si>
  <si>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</si>
  <si>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</si>
  <si>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</si>
  <si>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</si>
  <si>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</si>
  <si>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</si>
  <si>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</si>
  <si>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</si>
  <si>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</si>
  <si>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</si>
  <si>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</si>
  <si>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</si>
  <si>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</si>
  <si>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</si>
  <si>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</si>
  <si>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</si>
  <si>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</si>
  <si>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</si>
  <si>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</si>
  <si>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</si>
  <si>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</si>
  <si>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</si>
  <si>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</si>
  <si>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</si>
  <si>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</si>
  <si>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</si>
  <si>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</si>
  <si>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</si>
  <si>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</si>
  <si>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</si>
  <si>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</si>
  <si>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</si>
  <si>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</si>
  <si>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</si>
  <si>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</si>
  <si>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</si>
  <si>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</si>
  <si>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</si>
  <si>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</si>
  <si>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</si>
  <si>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</si>
  <si>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</si>
  <si>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</si>
  <si>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</si>
  <si>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</si>
  <si>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</si>
  <si>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</si>
  <si>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</si>
  <si>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</si>
  <si>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</si>
  <si>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</si>
  <si>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</si>
  <si>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</si>
  <si>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</si>
  <si>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</si>
  <si>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</si>
  <si>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</si>
  <si>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</si>
  <si>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</si>
  <si>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</si>
  <si>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</si>
  <si>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</si>
  <si>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</si>
  <si>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</si>
  <si>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</si>
  <si>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</si>
  <si>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</si>
  <si>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</si>
  <si>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</si>
  <si>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</si>
  <si>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</si>
  <si>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</si>
  <si>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</si>
  <si>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</si>
  <si>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</si>
  <si>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</si>
  <si>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</si>
  <si>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</si>
  <si>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</si>
  <si>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</si>
  <si>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</si>
  <si>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</si>
  <si>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</si>
  <si>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</si>
  <si>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</si>
  <si>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</si>
  <si>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</si>
  <si>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</si>
  <si>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</si>
  <si>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</si>
  <si>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</si>
  <si>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</si>
  <si>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</si>
  <si>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</si>
  <si>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</si>
  <si>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</si>
  <si>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</si>
  <si>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</si>
  <si>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</si>
  <si>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</si>
  <si>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</si>
  <si>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</si>
  <si>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</si>
  <si>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</si>
  <si>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</si>
  <si>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</si>
  <si>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</si>
  <si>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</si>
  <si>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</si>
  <si>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</si>
  <si>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</si>
  <si>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</si>
  <si>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</si>
  <si>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</si>
  <si>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</si>
  <si>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</si>
  <si>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</si>
  <si>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</si>
  <si>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</si>
  <si>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</si>
  <si>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</si>
  <si>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</si>
  <si>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</si>
  <si>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</si>
  <si>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</si>
  <si>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</si>
  <si>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</si>
  <si>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</si>
  <si>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</si>
  <si>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</si>
  <si>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</si>
  <si>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</si>
  <si>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</si>
  <si>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</si>
  <si>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</si>
  <si>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</si>
  <si>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</si>
  <si>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</si>
  <si>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</si>
  <si>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</si>
  <si>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</si>
  <si>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</si>
  <si>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</si>
  <si>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</si>
  <si>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</si>
  <si>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</si>
  <si>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</si>
  <si>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</si>
  <si>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</si>
  <si>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</si>
  <si>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</si>
  <si>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</si>
  <si>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</si>
  <si>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</si>
  <si>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</si>
  <si>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</si>
  <si>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</si>
  <si>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</si>
  <si>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</si>
  <si>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</si>
  <si>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</si>
  <si>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</si>
  <si>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</si>
  <si>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</si>
  <si>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</si>
  <si>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</si>
  <si>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</si>
  <si>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</si>
  <si>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</si>
  <si>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</si>
  <si>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</si>
  <si>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</si>
  <si>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</si>
  <si>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</si>
  <si>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</si>
  <si>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</si>
  <si>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</si>
  <si>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</si>
  <si>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</si>
  <si>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</si>
  <si>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</si>
  <si>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</si>
  <si>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</si>
  <si>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</si>
  <si>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</si>
  <si>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</si>
  <si>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</si>
  <si>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</si>
  <si>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</si>
  <si>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</si>
  <si>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</si>
  <si>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</si>
  <si>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</si>
  <si>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</si>
  <si>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</si>
  <si>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</si>
  <si>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</si>
  <si>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</si>
  <si>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</si>
  <si>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</si>
  <si>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</si>
  <si>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</si>
  <si>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</si>
  <si>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</si>
  <si>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</si>
  <si>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</si>
  <si>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</si>
  <si>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</si>
  <si>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</si>
  <si>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</si>
  <si>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</si>
  <si>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</si>
  <si>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</si>
  <si>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</si>
  <si>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</si>
  <si>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</si>
  <si>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</si>
  <si>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</si>
  <si>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</si>
  <si>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</si>
  <si>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</si>
  <si>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</si>
  <si>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</si>
  <si>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</si>
  <si>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</si>
  <si>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</si>
  <si>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</si>
  <si>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</si>
  <si>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</si>
  <si>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</si>
  <si>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</si>
  <si>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</si>
  <si>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</si>
  <si>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</si>
  <si>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</si>
  <si>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</si>
  <si>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</si>
  <si>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</si>
  <si>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</si>
  <si>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</si>
  <si>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</si>
  <si>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</si>
  <si>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</si>
  <si>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</si>
  <si>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</si>
  <si>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</si>
  <si>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</si>
  <si>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</si>
  <si>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</si>
  <si>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</si>
  <si>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</si>
  <si>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</si>
  <si>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</si>
  <si>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</si>
  <si>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</si>
  <si>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</si>
  <si>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</si>
  <si>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</si>
  <si>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</si>
  <si>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</si>
  <si>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</si>
  <si>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</si>
  <si>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</si>
  <si>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</si>
  <si>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</si>
  <si>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</si>
  <si>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</si>
  <si>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</si>
  <si>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</si>
  <si>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</si>
  <si>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</si>
  <si>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</si>
  <si>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</si>
  <si>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</si>
  <si>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</si>
  <si>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</si>
  <si>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</si>
  <si>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</si>
  <si>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</si>
  <si>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</si>
  <si>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</si>
  <si>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</si>
  <si>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</si>
  <si>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</si>
  <si>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</si>
  <si>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</si>
  <si>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</si>
  <si>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</si>
  <si>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</si>
  <si>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</si>
  <si>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</si>
  <si>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</si>
  <si>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</si>
  <si>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</si>
  <si>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</si>
  <si>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</si>
  <si>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</si>
  <si>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</si>
  <si>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</si>
  <si>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</si>
  <si>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</si>
  <si>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</si>
  <si>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</si>
  <si>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</si>
  <si>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</si>
  <si>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</si>
  <si>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</si>
  <si>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</si>
  <si>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</si>
  <si>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</si>
  <si>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</si>
  <si>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</si>
  <si>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</si>
  <si>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</si>
  <si>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</si>
  <si>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</si>
  <si>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</si>
  <si>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</si>
  <si>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</si>
  <si>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</si>
  <si>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</si>
  <si>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</si>
  <si>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</si>
  <si>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</si>
  <si>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</si>
  <si>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</si>
  <si>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</si>
  <si>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</si>
  <si>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</si>
  <si>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</si>
  <si>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</si>
  <si>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</si>
  <si>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</si>
  <si>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</si>
  <si>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</si>
  <si>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</si>
  <si>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</si>
  <si>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</si>
  <si>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</si>
  <si>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</si>
  <si>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</si>
  <si>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</si>
  <si>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</si>
  <si>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</si>
  <si>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</si>
  <si>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</si>
  <si>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</si>
  <si>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</si>
  <si>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</si>
  <si>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</si>
  <si>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</si>
  <si>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</si>
  <si>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</si>
  <si>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</si>
  <si>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</si>
  <si>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</si>
  <si>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</si>
  <si>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</si>
  <si>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</si>
  <si>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</si>
  <si>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</si>
  <si>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</si>
  <si>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</si>
  <si>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</si>
  <si>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</si>
  <si>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</si>
  <si>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</si>
  <si>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</si>
  <si>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</si>
  <si>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</si>
  <si>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</si>
  <si>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</si>
  <si>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</si>
  <si>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</si>
  <si>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</si>
  <si>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</si>
  <si>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</si>
  <si>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</si>
  <si>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</si>
  <si>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</si>
  <si>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</si>
  <si>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</si>
  <si>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</si>
  <si>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</si>
  <si>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</si>
  <si>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</si>
  <si>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</si>
  <si>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</si>
  <si>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</si>
  <si>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</si>
  <si>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</si>
  <si>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</si>
  <si>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</si>
  <si>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</si>
  <si>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</si>
  <si>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</si>
  <si>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</si>
  <si>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</si>
  <si>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</si>
  <si>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</si>
  <si>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</si>
  <si>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</si>
  <si>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</si>
  <si>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</si>
  <si>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</si>
  <si>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</si>
  <si>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</si>
  <si>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</si>
  <si>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</si>
  <si>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</si>
  <si>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</si>
  <si>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</si>
  <si>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</si>
  <si>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</si>
  <si>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</si>
  <si>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</si>
  <si>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</si>
  <si>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</si>
  <si>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</si>
  <si>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</si>
  <si>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</si>
  <si>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</si>
  <si>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</si>
  <si>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</si>
  <si>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</si>
  <si>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</si>
  <si>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</si>
  <si>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</si>
  <si>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</si>
  <si>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</si>
  <si>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</si>
  <si>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</si>
  <si>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</si>
  <si>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</si>
  <si>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</si>
  <si>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</si>
  <si>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</si>
  <si>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</si>
  <si>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</si>
  <si>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</si>
  <si>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</si>
  <si>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</si>
  <si>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</si>
  <si>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</si>
  <si>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</si>
  <si>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</si>
  <si>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</si>
  <si>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</si>
  <si>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</si>
  <si>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</si>
  <si>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</si>
  <si>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</si>
  <si>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</si>
  <si>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</si>
  <si>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</si>
  <si>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</si>
  <si>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</si>
  <si>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</si>
  <si>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</si>
  <si>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</si>
  <si>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</si>
  <si>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</si>
  <si>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</si>
  <si>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</si>
  <si>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</si>
  <si>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</si>
  <si>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</si>
  <si>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</si>
  <si>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</si>
  <si>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</si>
  <si>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</si>
  <si>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</si>
  <si>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</si>
  <si>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</si>
  <si>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</si>
  <si>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</si>
  <si>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</si>
  <si>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</si>
  <si>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</si>
  <si>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</si>
  <si>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</si>
  <si>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</si>
  <si>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</si>
  <si>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</si>
  <si>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</si>
  <si>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</si>
  <si>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</si>
  <si>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</si>
  <si>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</si>
  <si>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</si>
  <si>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</si>
  <si>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</si>
  <si>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</si>
  <si>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</si>
  <si>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</si>
  <si>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</si>
  <si>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</si>
  <si>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</si>
  <si>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</si>
  <si>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</si>
  <si>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</si>
  <si>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</si>
  <si>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</si>
  <si>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</si>
  <si>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</si>
  <si>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</si>
  <si>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</si>
  <si>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</si>
  <si>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</si>
  <si>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</si>
  <si>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</si>
  <si>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</si>
  <si>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</si>
  <si>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</si>
  <si>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</si>
  <si>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</si>
  <si>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</si>
  <si>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</si>
  <si>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</si>
  <si>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</si>
  <si>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</si>
  <si>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</si>
  <si>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</si>
  <si>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</si>
  <si>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</si>
  <si>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</si>
  <si>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</si>
  <si>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</si>
  <si>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</si>
  <si>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</si>
  <si>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</si>
  <si>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</si>
  <si>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</si>
  <si>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</si>
  <si>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</si>
  <si>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</si>
  <si>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</si>
  <si>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</si>
  <si>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</si>
  <si>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</si>
  <si>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</si>
  <si>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</si>
  <si>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</si>
  <si>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</si>
  <si>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</si>
  <si>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</si>
  <si>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</si>
  <si>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</si>
  <si>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</si>
  <si>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</si>
  <si>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</si>
  <si>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</si>
  <si>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</si>
  <si>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</si>
  <si>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</si>
  <si>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</si>
  <si>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</si>
  <si>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</si>
  <si>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</si>
  <si>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</si>
  <si>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</si>
  <si>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</si>
  <si>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</si>
  <si>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</si>
  <si>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</si>
  <si>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</si>
  <si>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</si>
  <si>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</si>
  <si>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</si>
  <si>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</si>
  <si>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</si>
  <si>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</si>
  <si>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</si>
  <si>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</si>
  <si>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</si>
  <si>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</si>
  <si>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</si>
  <si>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</si>
  <si>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</si>
  <si>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</si>
  <si>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</si>
  <si>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</si>
  <si>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</si>
  <si>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</si>
  <si>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</si>
  <si>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</si>
  <si>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</si>
  <si>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</si>
  <si>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</si>
  <si>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</si>
  <si>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</si>
  <si>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</si>
  <si>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</si>
  <si>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</si>
  <si>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</si>
  <si>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</si>
  <si>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</si>
  <si>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</si>
  <si>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</si>
  <si>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</si>
  <si>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</si>
  <si>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</si>
  <si>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</si>
  <si>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</si>
  <si>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</si>
  <si>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</si>
  <si>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</si>
  <si>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</si>
  <si>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</si>
  <si>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</si>
  <si>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</si>
  <si>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</si>
  <si>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</si>
  <si>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</si>
  <si>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</si>
  <si>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</si>
  <si>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</si>
  <si>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</si>
  <si>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</si>
  <si>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</si>
  <si>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</si>
  <si>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</si>
  <si>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</si>
  <si>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</si>
  <si>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</si>
  <si>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</si>
  <si>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</si>
  <si>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</si>
  <si>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</si>
  <si>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</si>
  <si>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</si>
  <si>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</si>
  <si>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</si>
  <si>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</si>
  <si>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</si>
  <si>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</si>
  <si>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</si>
  <si>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</si>
  <si>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</si>
  <si>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</si>
  <si>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</si>
  <si>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</si>
  <si>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</si>
  <si>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</si>
  <si>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</si>
  <si>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</si>
  <si>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</si>
  <si>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</si>
  <si>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</si>
  <si>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</si>
  <si>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</si>
  <si>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</si>
  <si>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</si>
  <si>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</si>
  <si>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</si>
  <si>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</si>
  <si>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</si>
  <si>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</si>
  <si>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</si>
  <si>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</si>
  <si>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</si>
  <si>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</si>
  <si>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</si>
  <si>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</si>
  <si>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</si>
  <si>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</si>
  <si>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</si>
  <si>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</si>
  <si>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</si>
  <si>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</si>
  <si>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</si>
  <si>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</si>
  <si>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</si>
  <si>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</si>
  <si>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</si>
  <si>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</si>
  <si>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</si>
  <si>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</si>
  <si>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</si>
  <si>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</si>
  <si>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</si>
  <si>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</si>
  <si>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</si>
  <si>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</si>
  <si>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</si>
  <si>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</si>
  <si>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</si>
  <si>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</si>
  <si>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</si>
  <si>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</si>
  <si>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</si>
  <si>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</si>
  <si>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</si>
  <si>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</si>
  <si>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</si>
  <si>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</si>
  <si>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</si>
  <si>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</si>
  <si>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</si>
  <si>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</si>
  <si>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</si>
  <si>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</si>
  <si>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</si>
  <si>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</si>
  <si>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</si>
  <si>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</si>
  <si>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</si>
  <si>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</si>
  <si>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</si>
  <si>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</si>
  <si>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</si>
  <si>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</si>
  <si>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</si>
  <si>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</si>
  <si>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</si>
  <si>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</si>
  <si>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</si>
  <si>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</si>
  <si>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</si>
  <si>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</si>
  <si>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</si>
  <si>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</si>
  <si>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</si>
  <si>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</si>
  <si>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</si>
  <si>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</si>
  <si>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</si>
  <si>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</si>
  <si>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</si>
  <si>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</si>
  <si>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</si>
  <si>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</si>
  <si>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</si>
  <si>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</si>
  <si>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</si>
  <si>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</si>
  <si>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</si>
  <si>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</si>
  <si>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</si>
  <si>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</si>
  <si>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</si>
  <si>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</si>
  <si>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</si>
  <si>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</si>
  <si>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</si>
  <si>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</si>
  <si>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</si>
  <si>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</si>
  <si>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</si>
  <si>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</si>
  <si>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</si>
  <si>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</si>
  <si>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</si>
  <si>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</si>
  <si>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</si>
  <si>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</si>
  <si>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</si>
  <si>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</si>
  <si>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</si>
  <si>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</si>
  <si>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</si>
  <si>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</si>
  <si>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</si>
  <si>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</si>
  <si>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</si>
  <si>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</si>
  <si>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</si>
  <si>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</si>
  <si>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</si>
  <si>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</si>
  <si>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</si>
  <si>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</si>
  <si>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</si>
  <si>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</si>
  <si>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</si>
  <si>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</si>
  <si>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</si>
  <si>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</si>
  <si>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</si>
  <si>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</si>
  <si>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</si>
  <si>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</si>
  <si>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</si>
  <si>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</si>
  <si>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</si>
  <si>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</si>
  <si>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</si>
  <si>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</si>
  <si>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</si>
  <si>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</si>
  <si>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</si>
  <si>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</si>
  <si>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</si>
  <si>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</si>
  <si>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</si>
  <si>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</si>
  <si>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</si>
  <si>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</si>
  <si>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</si>
  <si>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</si>
  <si>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</si>
  <si>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</si>
  <si>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</si>
  <si>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</si>
  <si>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</si>
  <si>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</si>
  <si>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</si>
  <si>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</si>
  <si>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</si>
  <si>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</si>
  <si>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</si>
  <si>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</si>
  <si>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</si>
  <si>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</si>
  <si>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</si>
  <si>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</si>
  <si>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</si>
  <si>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</si>
  <si>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</si>
  <si>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</si>
  <si>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</si>
  <si>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</si>
  <si>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</si>
  <si>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</si>
  <si>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</si>
  <si>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</si>
  <si>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</si>
  <si>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</si>
  <si>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</si>
  <si>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</si>
  <si>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</si>
  <si>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</si>
  <si>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</si>
  <si>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</si>
  <si>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</si>
  <si>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</si>
  <si>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</si>
  <si>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</si>
  <si>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</si>
  <si>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</si>
  <si>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</si>
  <si>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</si>
  <si>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</si>
  <si>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</si>
  <si>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</si>
  <si>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</si>
  <si>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</si>
  <si>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</si>
  <si>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</si>
  <si>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</si>
  <si>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</si>
  <si>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</si>
  <si>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</si>
  <si>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</si>
  <si>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</si>
  <si>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</si>
  <si>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</si>
  <si>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</si>
  <si>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</si>
  <si>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</si>
  <si>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</si>
  <si>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</si>
  <si>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</si>
  <si>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</si>
  <si>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</si>
  <si>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</si>
  <si>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</si>
  <si>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</si>
  <si>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</si>
  <si>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</si>
  <si>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</si>
  <si>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</si>
  <si>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</si>
  <si>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</si>
  <si>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</si>
  <si>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</si>
  <si>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</si>
  <si>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</si>
  <si>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</si>
  <si>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</si>
  <si>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</si>
  <si>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</si>
  <si>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</si>
  <si>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</si>
  <si>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</si>
  <si>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</si>
  <si>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</si>
  <si>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</si>
  <si>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</si>
  <si>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</si>
  <si>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</si>
  <si>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</si>
  <si>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</si>
  <si>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</si>
  <si>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</si>
  <si>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</si>
  <si>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</si>
  <si>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</si>
  <si>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</si>
  <si>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</si>
  <si>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</si>
  <si>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</si>
  <si>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</si>
  <si>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</si>
  <si>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</si>
  <si>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</si>
  <si>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</si>
  <si>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</si>
  <si>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</si>
  <si>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</si>
  <si>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</si>
  <si>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</si>
  <si>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</si>
  <si>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</si>
  <si>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</si>
  <si>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</si>
  <si>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</si>
  <si>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</si>
  <si>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</si>
  <si>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</si>
  <si>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</si>
  <si>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</si>
  <si>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</si>
  <si>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</si>
  <si>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</si>
  <si>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</si>
  <si>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</si>
  <si>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</si>
  <si>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</si>
  <si>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</si>
  <si>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</si>
  <si>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</si>
  <si>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</si>
  <si>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</si>
  <si>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</si>
  <si>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</si>
  <si>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</si>
  <si>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</si>
  <si>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</si>
  <si>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</si>
  <si>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</si>
  <si>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</si>
  <si>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</si>
  <si>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</si>
  <si>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</si>
  <si>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</si>
  <si>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</si>
  <si>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</si>
  <si>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</si>
  <si>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</si>
  <si>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</si>
  <si>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</si>
  <si>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</si>
  <si>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</si>
  <si>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</si>
  <si>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</si>
  <si>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</si>
  <si>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</si>
  <si>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</si>
  <si>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</si>
  <si>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</si>
  <si>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</si>
  <si>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</si>
  <si>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</si>
  <si>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</si>
  <si>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</si>
  <si>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</si>
  <si>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</si>
  <si>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</si>
  <si>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</si>
  <si>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</si>
  <si>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</si>
  <si>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</si>
  <si>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</si>
  <si>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</si>
  <si>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</si>
  <si>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</si>
  <si>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</si>
  <si>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</si>
  <si>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</si>
  <si>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</si>
  <si>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</si>
  <si>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</si>
  <si>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</si>
  <si>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</si>
  <si>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</si>
  <si>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</si>
  <si>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</si>
  <si>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</si>
  <si>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</si>
  <si>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</si>
  <si>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</si>
  <si>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</si>
  <si>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</si>
  <si>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</si>
  <si>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</si>
  <si>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</si>
  <si>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</si>
  <si>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</si>
  <si>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</si>
  <si>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</si>
  <si>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</si>
  <si>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</si>
  <si>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</si>
  <si>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</si>
  <si>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</si>
  <si>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</si>
  <si>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</si>
  <si>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</si>
  <si>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</si>
  <si>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</si>
  <si>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</si>
  <si>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</si>
  <si>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</si>
  <si>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</si>
  <si>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</si>
  <si>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</si>
  <si>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</si>
  <si>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</si>
  <si>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</si>
  <si>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</si>
  <si>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</si>
  <si>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</si>
  <si>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</si>
  <si>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</si>
  <si>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</si>
  <si>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</si>
  <si>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</si>
  <si>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</si>
  <si>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</si>
  <si>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</si>
  <si>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</si>
  <si>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</si>
  <si>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</si>
  <si>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</si>
  <si>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</si>
  <si>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</si>
  <si>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</si>
  <si>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</si>
  <si>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</si>
  <si>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</si>
  <si>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</si>
  <si>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</si>
  <si>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</si>
  <si>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</si>
  <si>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</si>
  <si>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</si>
  <si>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</si>
  <si>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</si>
  <si>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</si>
  <si>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</si>
  <si>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</si>
  <si>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</si>
  <si>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</si>
  <si>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</si>
  <si>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</si>
  <si>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</si>
  <si>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</si>
  <si>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</si>
  <si>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</si>
  <si>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</si>
  <si>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</si>
  <si>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</si>
  <si>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</si>
  <si>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</si>
  <si>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</si>
  <si>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</si>
  <si>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</si>
  <si>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</si>
  <si>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</si>
  <si>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</si>
  <si>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</si>
  <si>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</si>
  <si>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</si>
  <si>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</si>
  <si>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</si>
  <si>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</si>
  <si>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</si>
  <si>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</si>
  <si>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</si>
  <si>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</si>
  <si>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</si>
  <si>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</si>
  <si>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</si>
  <si>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</si>
  <si>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</si>
  <si>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</si>
  <si>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</si>
  <si>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</si>
  <si>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</si>
  <si>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</si>
  <si>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</si>
  <si>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</si>
  <si>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</si>
  <si>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</si>
  <si>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</si>
  <si>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</si>
  <si>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</si>
  <si>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</si>
  <si>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</si>
  <si>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</si>
  <si>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</si>
  <si>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</si>
  <si>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</si>
  <si>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</si>
  <si>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</si>
  <si>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</si>
  <si>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</si>
  <si>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</si>
  <si>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</si>
  <si>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</si>
  <si>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</si>
  <si>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</si>
  <si>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</si>
  <si>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</si>
  <si>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</si>
  <si>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</si>
  <si>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</si>
  <si>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</si>
  <si>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</si>
  <si>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</si>
  <si>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</si>
  <si>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</si>
  <si>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</si>
  <si>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</si>
  <si>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</si>
  <si>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</si>
  <si>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</si>
  <si>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</si>
  <si>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</si>
  <si>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</si>
  <si>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</si>
  <si>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</si>
  <si>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</si>
  <si>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</si>
  <si>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</si>
  <si>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</si>
  <si>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</si>
  <si>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</si>
  <si>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</si>
  <si>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</si>
  <si>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</si>
  <si>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</si>
  <si>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</si>
  <si>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</si>
  <si>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</si>
  <si>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</si>
  <si>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</si>
  <si>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</si>
  <si>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</si>
  <si>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</si>
  <si>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</si>
  <si>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</si>
  <si>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</si>
  <si>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</si>
  <si>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</si>
  <si>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</si>
  <si>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</si>
  <si>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</si>
  <si>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</si>
  <si>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</si>
  <si>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</si>
  <si>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</si>
  <si>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</si>
  <si>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</si>
  <si>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</si>
  <si>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</si>
  <si>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</si>
  <si>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</si>
  <si>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</si>
  <si>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</si>
  <si>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</si>
  <si>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</si>
  <si>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</si>
  <si>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</si>
  <si>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</si>
  <si>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</si>
  <si>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</si>
  <si>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</si>
  <si>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</si>
  <si>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</si>
  <si>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</si>
  <si>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</si>
  <si>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</si>
  <si>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</si>
  <si>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</si>
  <si>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</si>
  <si>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</si>
  <si>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</si>
  <si>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</si>
  <si>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</si>
  <si>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</si>
  <si>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</si>
  <si>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</si>
  <si>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</si>
  <si>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</si>
  <si>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</si>
  <si>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</si>
  <si>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</si>
  <si>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</si>
  <si>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</si>
  <si>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</si>
  <si>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</si>
  <si>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</si>
  <si>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</si>
  <si>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</si>
  <si>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</si>
  <si>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</si>
  <si>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</si>
  <si>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</si>
  <si>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</si>
  <si>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</si>
  <si>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</si>
  <si>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</si>
  <si>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</si>
  <si>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</si>
  <si>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</si>
  <si>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</si>
  <si>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</si>
  <si>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</si>
  <si>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</si>
  <si>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</si>
  <si>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</si>
  <si>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</si>
  <si>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</si>
  <si>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</si>
  <si>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</si>
  <si>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</si>
  <si>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</si>
  <si>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</si>
  <si>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</si>
  <si>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</si>
  <si>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</si>
  <si>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</si>
  <si>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Maximum</t>
  </si>
  <si>
    <t>Minimum</t>
  </si>
  <si>
    <t>Median</t>
  </si>
  <si>
    <t>Average</t>
  </si>
  <si>
    <t>Count</t>
  </si>
  <si>
    <t>Value</t>
  </si>
  <si>
    <t>Metric</t>
  </si>
  <si>
    <t>UNIT PRICE ANALYSIS</t>
  </si>
  <si>
    <t xml:space="preserve">Metric </t>
  </si>
  <si>
    <t>TOTAL PRICE ANALYSIS</t>
  </si>
  <si>
    <t>QUANTITY ANALYSIS</t>
  </si>
  <si>
    <t>Grand Total</t>
  </si>
  <si>
    <t>Row Labels</t>
  </si>
  <si>
    <t>Count of OrderStatus</t>
  </si>
  <si>
    <t>Order Status Distribution</t>
  </si>
  <si>
    <t>Best Selling Product</t>
  </si>
  <si>
    <t>Count of Product</t>
  </si>
  <si>
    <t>Average Sales by Product</t>
  </si>
  <si>
    <t>Sum of TotalPrice</t>
  </si>
  <si>
    <t>Average of TotalPrice</t>
  </si>
  <si>
    <t>Revenue By Product</t>
  </si>
  <si>
    <t>Quantity Sold By Product</t>
  </si>
  <si>
    <t>Sum of Quantity</t>
  </si>
  <si>
    <t>Monthly Revenue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</si>
  <si>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</si>
  <si>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</si>
  <si>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</si>
  <si>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</si>
  <si>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</si>
  <si>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</si>
  <si>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</si>
  <si>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</si>
  <si>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</si>
  <si>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</si>
  <si>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</si>
  <si>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</si>
  <si>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Payment Method Distribution</t>
  </si>
  <si>
    <t>Count of PaymentMethod</t>
  </si>
  <si>
    <t>Refferal Source</t>
  </si>
  <si>
    <t>Count of ReferralSource</t>
  </si>
  <si>
    <t xml:space="preserve">OUTLIERS </t>
  </si>
  <si>
    <t>First Quartile(Q1)</t>
  </si>
  <si>
    <t>Third Quartile (Q3)</t>
  </si>
  <si>
    <t>IQR=Q3-Q1</t>
  </si>
  <si>
    <t>Lower Limit=Q1-1.5IQR</t>
  </si>
  <si>
    <t>Upper Limit=Q3+1.5IQR</t>
  </si>
  <si>
    <t>Any value in Total Price:
Less than the Lower Limit → Outlier
Greater than the Upper Limit → Outlier
All other values are considered normal</t>
  </si>
  <si>
    <t>No of Values Greater Than Upper Limit (Outliers)</t>
  </si>
  <si>
    <t>No of Values Less Than Lower Limit (Outliers)</t>
  </si>
  <si>
    <t>TOTAL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</si>
</sst>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4" fillId="0" borderId="8" xfId="0" applyFont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</font>
    </dxf>
    <dxf>
      <font>
        <b val="0"/>
      </font>
    </dxf>
    <dxf>
      <font>
        <b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[Saniya Kashif Project 2- Data Analytics.xlsx]Project 2 Pivot Tables!PivotTable1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'Project 2 Pivot Tables'!$B$3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69-4BC3-A402-A8F178047B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69-4BC3-A402-A8F178047B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69-4BC3-A402-A8F178047B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69-4BC3-A402-A8F178047B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B69-4BC3-A402-A8F178047B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'Project 2 Pivot Tables'!$A$4:$A$9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'Project 2 Pivot Tables'!$B$4:$B$9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4-4CF9-B80E-3F066FA4684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[Saniya Kashif Project 2- Data Analytics.xlsx]Project 2 Pivot Tables!PivotTable4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2 Pivot Tables'!$B$13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'Project 2 Pivot Tables'!$A$14:$A$21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'Project 2 Pivot Tables'!$B$14:$B$21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E08-AA01-184C40CFF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1641807"/>
        <c:axId val="1501367999"/>
      </c:barChart>
      <c:catAx>
        <c:axId val="3164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367999"/>
        <c:crosses val="autoZero"/>
        <c:auto val="1"/>
        <c:lblAlgn val="ctr"/>
        <c:lblOffset val="100"/>
        <c:noMultiLvlLbl val="0"/>
      </c:catAx>
      <c:valAx>
        <c:axId val="150136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4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[Saniya Kashif Project 2- Data Analytics.xlsx]Project 2 Pivot Tables!PivotTable13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2 Pivot Tables'!$B$25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'Project 2 Pivot Tables'!$A$26:$A$33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'Project 2 Pivot Tables'!$B$26:$B$33</c:f>
              <c:numCache>
                <c:formatCode>0.00</c:formatCode>
                <c:ptCount val="7"/>
                <c:pt idx="0">
                  <c:v>1098.989382022472</c:v>
                </c:pt>
                <c:pt idx="1">
                  <c:v>985.05841176470585</c:v>
                </c:pt>
                <c:pt idx="2">
                  <c:v>1110.558150289017</c:v>
                </c:pt>
                <c:pt idx="3">
                  <c:v>1077.6160122699384</c:v>
                </c:pt>
                <c:pt idx="4">
                  <c:v>972.57942307692315</c:v>
                </c:pt>
                <c:pt idx="5">
                  <c:v>1080.7326519337014</c:v>
                </c:pt>
                <c:pt idx="6">
                  <c:v>1042.2846368715088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5-4F03-BBDE-20184A243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38655"/>
        <c:axId val="1298008223"/>
      </c:barChart>
      <c:catAx>
        <c:axId val="3203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008223"/>
        <c:crosses val="autoZero"/>
        <c:auto val="1"/>
        <c:lblAlgn val="ctr"/>
        <c:lblOffset val="100"/>
        <c:noMultiLvlLbl val="0"/>
      </c:catAx>
      <c:valAx>
        <c:axId val="129800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3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[Saniya Kashif Project 2- Data Analytics.xlsx]Project 2 Pivot Tables!PivotTable14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2 Pivot Tables'!$B$37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'Project 2 Pivot Tables'!$A$38:$A$45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'Project 2 Pivot Tables'!$B$38:$B$45</c:f>
              <c:numCache>
                <c:formatCode>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1-431E-A40D-B615DBEC0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32043295"/>
        <c:axId val="1501389119"/>
      </c:barChart>
      <c:catAx>
        <c:axId val="3204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389119"/>
        <c:crosses val="autoZero"/>
        <c:auto val="1"/>
        <c:lblAlgn val="ctr"/>
        <c:lblOffset val="100"/>
        <c:noMultiLvlLbl val="0"/>
      </c:catAx>
      <c:valAx>
        <c:axId val="150138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4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[Saniya Kashif Project 2- Data Analytics.xlsx]Project 2 Pivot Tables!PivotTable15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2 Pivot Tables'!$B$49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2 Pivot Tables'!$A$50:$A$57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'Project 2 Pivot Tables'!$B$50:$B$57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1-4D20-8141-FFE5FAE6E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838975"/>
        <c:axId val="1423890591"/>
      </c:barChart>
      <c:catAx>
        <c:axId val="79838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890591"/>
        <c:crosses val="autoZero"/>
        <c:auto val="1"/>
        <c:lblAlgn val="ctr"/>
        <c:lblOffset val="100"/>
        <c:noMultiLvlLbl val="0"/>
      </c:catAx>
      <c:valAx>
        <c:axId val="142389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3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[Saniya Kashif Project 2- Data Analytics.xlsx]Project 2 Pivot Tables!PivotTable16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'Project 2 Pivot Tables'!$B$61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'Project 2 Pivot Tables'!$A$62:$A$74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'Project 2 Pivot Tables'!$B$62:$B$74</c:f>
              <c:numCache>
                <c:formatCode>0.00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C8-4123-B023-6214E0359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44239"/>
        <c:axId val="1501369919"/>
      </c:lineChart>
      <c:catAx>
        <c:axId val="8914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369919"/>
        <c:crosses val="autoZero"/>
        <c:auto val="1"/>
        <c:lblAlgn val="ctr"/>
        <c:lblOffset val="100"/>
        <c:noMultiLvlLbl val="0"/>
      </c:catAx>
      <c:valAx>
        <c:axId val="150136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[Saniya Kashif Project 2- Data Analytics.xlsx]Project 2 Pivot Tables!PivotTable17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'Project 2 Pivot Tables'!$B$78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BF7-41BE-987D-3B0AA2EA6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BF7-41BE-987D-3B0AA2EA6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BF7-41BE-987D-3B0AA2EA6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BF7-41BE-987D-3B0AA2EA6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7BF7-41BE-987D-3B0AA2EA6772}"/>
              </c:ext>
            </c:extLst>
          </c:dPt>
          <c:cat>
            <c:strRef>
              <c:f>'Project 2 Pivot Tables'!$A$79:$A$84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'Project 2 Pivot Tables'!$B$79:$B$84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5-4BED-B206-33063950F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[Saniya Kashif Project 2- Data Analytics.xlsx]Project 2 Pivot Tables!PivotTable18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2 Pivot Tables'!$B$88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2 Pivot Tables'!$A$89:$A$94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'Project 2 Pivot Tables'!$B$89:$B$94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B-4145-9919-80FEE4AC8A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85113199"/>
        <c:axId val="1501361759"/>
      </c:barChart>
      <c:catAx>
        <c:axId val="28511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361759"/>
        <c:crosses val="autoZero"/>
        <c:auto val="1"/>
        <c:lblAlgn val="ctr"/>
        <c:lblOffset val="100"/>
        <c:noMultiLvlLbl val="0"/>
      </c:catAx>
      <c:valAx>
        <c:axId val="1501361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511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206962</xdr:colOff>
      <xdr:row>0</xdr:row>
      <xdr:rowOff>0</xdr:rowOff>
    </xdr:from>
    <xdr:to>
      <xdr:col>7</xdr:col>
      <xdr:colOff>18815</xdr:colOff>
      <xdr:row>11</xdr:row>
      <xdr:rowOff>188150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5B37B8-B1FA-8326-1D62-44C3785F8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282222</xdr:colOff>
      <xdr:row>12</xdr:row>
      <xdr:rowOff>6585</xdr:rowOff>
    </xdr:from>
    <xdr:to>
      <xdr:col>6</xdr:col>
      <xdr:colOff>376297</xdr:colOff>
      <xdr:row>24</xdr:row>
      <xdr:rowOff>9407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2F81CF-0AAA-88D5-B94F-610BD9237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310445</xdr:colOff>
      <xdr:row>24</xdr:row>
      <xdr:rowOff>94073</xdr:rowOff>
    </xdr:from>
    <xdr:to>
      <xdr:col>6</xdr:col>
      <xdr:colOff>404519</xdr:colOff>
      <xdr:row>35</xdr:row>
      <xdr:rowOff>47037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625025-C7EE-6D18-998B-E4151202F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291630</xdr:colOff>
      <xdr:row>35</xdr:row>
      <xdr:rowOff>110067</xdr:rowOff>
    </xdr:from>
    <xdr:to>
      <xdr:col>7</xdr:col>
      <xdr:colOff>272815</xdr:colOff>
      <xdr:row>47</xdr:row>
      <xdr:rowOff>131704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449DD5-3F42-3161-3E76-9F9EE6113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291630</xdr:colOff>
      <xdr:row>47</xdr:row>
      <xdr:rowOff>194734</xdr:rowOff>
    </xdr:from>
    <xdr:to>
      <xdr:col>6</xdr:col>
      <xdr:colOff>517408</xdr:colOff>
      <xdr:row>58</xdr:row>
      <xdr:rowOff>103482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AD553CA-14EE-2EC7-BF61-D457C651F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225779</xdr:colOff>
      <xdr:row>59</xdr:row>
      <xdr:rowOff>100659</xdr:rowOff>
    </xdr:from>
    <xdr:to>
      <xdr:col>7</xdr:col>
      <xdr:colOff>206964</xdr:colOff>
      <xdr:row>73</xdr:row>
      <xdr:rowOff>65852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D0C54C-0E22-D52D-0569-D9F4DC15A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254001</xdr:colOff>
      <xdr:row>73</xdr:row>
      <xdr:rowOff>100660</xdr:rowOff>
    </xdr:from>
    <xdr:to>
      <xdr:col>6</xdr:col>
      <xdr:colOff>498593</xdr:colOff>
      <xdr:row>85</xdr:row>
      <xdr:rowOff>150519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89C7B54-9710-E881-EB1C-A8ECD8A22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319852</xdr:colOff>
      <xdr:row>86</xdr:row>
      <xdr:rowOff>241771</xdr:rowOff>
    </xdr:from>
    <xdr:to>
      <xdr:col>7</xdr:col>
      <xdr:colOff>301037</xdr:colOff>
      <xdr:row>102</xdr:row>
      <xdr:rowOff>40453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B1ABEC8-7FB2-DD34-A119-718BACBF2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8.708108796294" createdVersion="8" refreshedVersion="8" minRefreshableVersion="3" recordCount="1200" xr:uid="{AAD1162C-BF13-46A9-938B-D09B8983D0F5}">
  <cacheSource type="worksheet">
    <worksheetSource name="Table1"/>
  </cacheSource>
  <cacheFields count="17">
    <cacheField name="OrderID" numFmtId="0">
      <sharedItems/>
    </cacheField>
    <cacheField name="Date" numFmtId="165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3999999999996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x v="0"/>
    <x v="0"/>
    <n v="5"/>
    <n v="570.62"/>
    <s v="928 Main St"/>
    <x v="0"/>
    <x v="0"/>
    <s v="TRK37947903"/>
    <n v="7"/>
    <s v="SAVE10"/>
    <x v="0"/>
    <n v="2853.1"/>
  </r>
  <r>
    <s v="ORD200001"/>
    <x v="1"/>
    <x v="1"/>
    <x v="1"/>
    <n v="2"/>
    <n v="151.35"/>
    <s v="823 Main St"/>
    <x v="1"/>
    <x v="0"/>
    <s v="TRK91186779"/>
    <n v="3"/>
    <s v="SAVE10"/>
    <x v="1"/>
    <n v="302.7"/>
  </r>
  <r>
    <s v="ORD200002"/>
    <x v="2"/>
    <x v="2"/>
    <x v="2"/>
    <n v="5"/>
    <n v="550.67999999999995"/>
    <s v="512 Main St"/>
    <x v="2"/>
    <x v="1"/>
    <s v="TRK42903982"/>
    <n v="8"/>
    <s v="FREESHIP"/>
    <x v="2"/>
    <n v="2753.3999999999996"/>
  </r>
  <r>
    <s v="ORD200003"/>
    <x v="3"/>
    <x v="3"/>
    <x v="3"/>
    <n v="1"/>
    <n v="273.19"/>
    <s v="275 Main St"/>
    <x v="0"/>
    <x v="2"/>
    <s v="TRK62788070"/>
    <n v="5"/>
    <s v="SAVE10"/>
    <x v="3"/>
    <n v="273.19"/>
  </r>
  <r>
    <s v="ORD200004"/>
    <x v="4"/>
    <x v="4"/>
    <x v="4"/>
    <n v="4"/>
    <n v="626.01"/>
    <s v="668 Main St"/>
    <x v="1"/>
    <x v="3"/>
    <s v="TRK29241424"/>
    <n v="8"/>
    <s v="SAVE10"/>
    <x v="2"/>
    <n v="2504.04"/>
  </r>
  <r>
    <s v="ORD200005"/>
    <x v="5"/>
    <x v="5"/>
    <x v="1"/>
    <n v="2"/>
    <n v="245.86"/>
    <s v="934 Main St"/>
    <x v="2"/>
    <x v="0"/>
    <s v="TRK72976927"/>
    <n v="4"/>
    <s v="SAVE10"/>
    <x v="0"/>
    <n v="491.72"/>
  </r>
  <r>
    <s v="ORD200006"/>
    <x v="6"/>
    <x v="6"/>
    <x v="5"/>
    <n v="1"/>
    <n v="664.42"/>
    <s v="986 Main St"/>
    <x v="3"/>
    <x v="2"/>
    <s v="TRK96417362"/>
    <n v="6"/>
    <s v="SAVE10"/>
    <x v="3"/>
    <n v="664.42"/>
  </r>
  <r>
    <s v="ORD200007"/>
    <x v="7"/>
    <x v="7"/>
    <x v="0"/>
    <n v="5"/>
    <n v="149.55000000000001"/>
    <s v="706 Main St"/>
    <x v="4"/>
    <x v="0"/>
    <s v="TRK78809193"/>
    <n v="9"/>
    <s v="FREESHIP"/>
    <x v="3"/>
    <n v="747.75"/>
  </r>
  <r>
    <s v="ORD200008"/>
    <x v="8"/>
    <x v="8"/>
    <x v="1"/>
    <n v="2"/>
    <n v="134.28"/>
    <s v="904 Main St"/>
    <x v="3"/>
    <x v="1"/>
    <s v="TRK61042692"/>
    <n v="2"/>
    <s v="None"/>
    <x v="2"/>
    <n v="268.56"/>
  </r>
  <r>
    <s v="ORD200009"/>
    <x v="9"/>
    <x v="9"/>
    <x v="6"/>
    <n v="4"/>
    <n v="509.38"/>
    <s v="102 Main St"/>
    <x v="2"/>
    <x v="0"/>
    <s v="TRK33478363"/>
    <n v="6"/>
    <s v="SAVE10"/>
    <x v="4"/>
    <n v="2037.52"/>
  </r>
  <r>
    <s v="ORD200010"/>
    <x v="10"/>
    <x v="10"/>
    <x v="2"/>
    <n v="5"/>
    <n v="625.97"/>
    <s v="333 Main St"/>
    <x v="2"/>
    <x v="2"/>
    <s v="TRK98859248"/>
    <n v="9"/>
    <s v="WINTER15"/>
    <x v="0"/>
    <n v="3129.8500000000004"/>
  </r>
  <r>
    <s v="ORD200011"/>
    <x v="11"/>
    <x v="11"/>
    <x v="0"/>
    <n v="3"/>
    <n v="49.14"/>
    <s v="831 Main St"/>
    <x v="1"/>
    <x v="2"/>
    <s v="TRK48234646"/>
    <n v="7"/>
    <s v="SAVE10"/>
    <x v="2"/>
    <n v="147.42000000000002"/>
  </r>
  <r>
    <s v="ORD200012"/>
    <x v="12"/>
    <x v="12"/>
    <x v="0"/>
    <n v="2"/>
    <n v="180.5"/>
    <s v="179 Main St"/>
    <x v="0"/>
    <x v="4"/>
    <s v="TRK20419991"/>
    <n v="6"/>
    <s v="FREESHIP"/>
    <x v="1"/>
    <n v="361"/>
  </r>
  <r>
    <s v="ORD200013"/>
    <x v="13"/>
    <x v="13"/>
    <x v="5"/>
    <n v="3"/>
    <n v="201.49"/>
    <s v="903 Main St"/>
    <x v="2"/>
    <x v="2"/>
    <s v="TRK81913874"/>
    <n v="4"/>
    <s v="FREESHIP"/>
    <x v="3"/>
    <n v="604.47"/>
  </r>
  <r>
    <s v="ORD200014"/>
    <x v="14"/>
    <x v="14"/>
    <x v="2"/>
    <n v="2"/>
    <n v="393.33"/>
    <s v="980 Main St"/>
    <x v="0"/>
    <x v="4"/>
    <s v="TRK79186539"/>
    <n v="3"/>
    <s v="SAVE10"/>
    <x v="0"/>
    <n v="786.66"/>
  </r>
  <r>
    <s v="ORD200015"/>
    <x v="15"/>
    <x v="15"/>
    <x v="4"/>
    <n v="1"/>
    <n v="473.96"/>
    <s v="942 Main St"/>
    <x v="4"/>
    <x v="3"/>
    <s v="TRK54930938"/>
    <n v="3"/>
    <s v="None"/>
    <x v="4"/>
    <n v="473.96"/>
  </r>
  <r>
    <s v="ORD200016"/>
    <x v="16"/>
    <x v="16"/>
    <x v="4"/>
    <n v="2"/>
    <n v="533.80999999999995"/>
    <s v="914 Main St"/>
    <x v="2"/>
    <x v="4"/>
    <s v="TRK13194259"/>
    <n v="3"/>
    <s v="FREESHIP"/>
    <x v="2"/>
    <n v="1067.6199999999999"/>
  </r>
  <r>
    <s v="ORD200017"/>
    <x v="17"/>
    <x v="17"/>
    <x v="2"/>
    <n v="1"/>
    <n v="423.4"/>
    <s v="382 Main St"/>
    <x v="0"/>
    <x v="0"/>
    <s v="TRK11972116"/>
    <n v="3"/>
    <s v="None"/>
    <x v="1"/>
    <n v="423.4"/>
  </r>
  <r>
    <s v="ORD200018"/>
    <x v="18"/>
    <x v="18"/>
    <x v="6"/>
    <n v="1"/>
    <n v="431.44"/>
    <s v="891 Main St"/>
    <x v="3"/>
    <x v="4"/>
    <s v="TRK65191045"/>
    <n v="3"/>
    <s v="SAVE10"/>
    <x v="3"/>
    <n v="431.44"/>
  </r>
  <r>
    <s v="ORD200019"/>
    <x v="19"/>
    <x v="19"/>
    <x v="0"/>
    <n v="5"/>
    <n v="224"/>
    <s v="273 Main St"/>
    <x v="4"/>
    <x v="2"/>
    <s v="TRK59101365"/>
    <n v="9"/>
    <s v="SAVE10"/>
    <x v="4"/>
    <n v="1120"/>
  </r>
  <r>
    <s v="ORD200020"/>
    <x v="20"/>
    <x v="20"/>
    <x v="3"/>
    <n v="5"/>
    <n v="62.51"/>
    <s v="587 Main St"/>
    <x v="4"/>
    <x v="4"/>
    <s v="TRK16718651"/>
    <n v="9"/>
    <s v="WINTER15"/>
    <x v="0"/>
    <n v="312.55"/>
  </r>
  <r>
    <s v="ORD200021"/>
    <x v="21"/>
    <x v="21"/>
    <x v="0"/>
    <n v="4"/>
    <n v="342.95"/>
    <s v="569 Main St"/>
    <x v="4"/>
    <x v="3"/>
    <s v="TRK52646983"/>
    <n v="6"/>
    <s v="None"/>
    <x v="4"/>
    <n v="1371.8"/>
  </r>
  <r>
    <s v="ORD200022"/>
    <x v="22"/>
    <x v="22"/>
    <x v="0"/>
    <n v="2"/>
    <n v="49.62"/>
    <s v="633 Main St"/>
    <x v="1"/>
    <x v="4"/>
    <s v="TRK75937350"/>
    <n v="2"/>
    <s v="SAVE10"/>
    <x v="4"/>
    <n v="99.24"/>
  </r>
  <r>
    <s v="ORD200023"/>
    <x v="23"/>
    <x v="23"/>
    <x v="1"/>
    <n v="4"/>
    <n v="273.25"/>
    <s v="755 Main St"/>
    <x v="0"/>
    <x v="1"/>
    <s v="TRK36168083"/>
    <n v="5"/>
    <s v="FREESHIP"/>
    <x v="1"/>
    <n v="1093"/>
  </r>
  <r>
    <s v="ORD200024"/>
    <x v="24"/>
    <x v="24"/>
    <x v="5"/>
    <n v="2"/>
    <n v="230.95"/>
    <s v="956 Main St"/>
    <x v="1"/>
    <x v="3"/>
    <s v="TRK28775057"/>
    <n v="3"/>
    <s v="WINTER15"/>
    <x v="1"/>
    <n v="461.9"/>
  </r>
  <r>
    <s v="ORD200025"/>
    <x v="25"/>
    <x v="25"/>
    <x v="0"/>
    <n v="1"/>
    <n v="399.98"/>
    <s v="709 Main St"/>
    <x v="0"/>
    <x v="3"/>
    <s v="TRK69423327"/>
    <n v="3"/>
    <s v="WINTER15"/>
    <x v="2"/>
    <n v="399.98"/>
  </r>
  <r>
    <s v="ORD200026"/>
    <x v="26"/>
    <x v="26"/>
    <x v="5"/>
    <n v="5"/>
    <n v="59.55"/>
    <s v="296 Main St"/>
    <x v="1"/>
    <x v="3"/>
    <s v="TRK80276812"/>
    <n v="6"/>
    <s v="None"/>
    <x v="1"/>
    <n v="297.75"/>
  </r>
  <r>
    <s v="ORD200027"/>
    <x v="27"/>
    <x v="27"/>
    <x v="4"/>
    <n v="1"/>
    <n v="472.74"/>
    <s v="881 Main St"/>
    <x v="1"/>
    <x v="0"/>
    <s v="TRK89117573"/>
    <n v="6"/>
    <s v="WINTER15"/>
    <x v="4"/>
    <n v="472.74"/>
  </r>
  <r>
    <s v="ORD200028"/>
    <x v="9"/>
    <x v="28"/>
    <x v="1"/>
    <n v="4"/>
    <n v="160.07"/>
    <s v="568 Main St"/>
    <x v="1"/>
    <x v="4"/>
    <s v="TRK65895539"/>
    <n v="5"/>
    <s v="None"/>
    <x v="2"/>
    <n v="640.28"/>
  </r>
  <r>
    <s v="ORD200029"/>
    <x v="28"/>
    <x v="29"/>
    <x v="6"/>
    <n v="3"/>
    <n v="423.53"/>
    <s v="930 Main St"/>
    <x v="2"/>
    <x v="3"/>
    <s v="TRK59744090"/>
    <n v="6"/>
    <s v="SAVE10"/>
    <x v="1"/>
    <n v="1270.5899999999999"/>
  </r>
  <r>
    <s v="ORD200030"/>
    <x v="29"/>
    <x v="30"/>
    <x v="0"/>
    <n v="2"/>
    <n v="426.7"/>
    <s v="895 Main St"/>
    <x v="1"/>
    <x v="4"/>
    <s v="TRK54751444"/>
    <n v="5"/>
    <s v="SAVE10"/>
    <x v="1"/>
    <n v="853.4"/>
  </r>
  <r>
    <s v="ORD200031"/>
    <x v="30"/>
    <x v="31"/>
    <x v="3"/>
    <n v="3"/>
    <n v="500.08"/>
    <s v="996 Main St"/>
    <x v="0"/>
    <x v="2"/>
    <s v="TRK31229981"/>
    <n v="6"/>
    <s v="None"/>
    <x v="3"/>
    <n v="1500.24"/>
  </r>
  <r>
    <s v="ORD200032"/>
    <x v="31"/>
    <x v="32"/>
    <x v="2"/>
    <n v="5"/>
    <n v="536.72"/>
    <s v="830 Main St"/>
    <x v="4"/>
    <x v="3"/>
    <s v="TRK99261395"/>
    <n v="10"/>
    <s v="None"/>
    <x v="2"/>
    <n v="2683.6000000000004"/>
  </r>
  <r>
    <s v="ORD200033"/>
    <x v="32"/>
    <x v="33"/>
    <x v="3"/>
    <n v="1"/>
    <n v="162.77000000000001"/>
    <s v="912 Main St"/>
    <x v="1"/>
    <x v="1"/>
    <s v="TRK73312471"/>
    <n v="4"/>
    <s v="WINTER15"/>
    <x v="3"/>
    <n v="162.77000000000001"/>
  </r>
  <r>
    <s v="ORD200034"/>
    <x v="33"/>
    <x v="34"/>
    <x v="3"/>
    <n v="4"/>
    <n v="576.52"/>
    <s v="926 Main St"/>
    <x v="2"/>
    <x v="4"/>
    <s v="TRK55467915"/>
    <n v="5"/>
    <s v="WINTER15"/>
    <x v="3"/>
    <n v="2306.08"/>
  </r>
  <r>
    <s v="ORD200035"/>
    <x v="34"/>
    <x v="35"/>
    <x v="0"/>
    <n v="2"/>
    <n v="465.15"/>
    <s v="128 Main St"/>
    <x v="1"/>
    <x v="0"/>
    <s v="TRK46850888"/>
    <n v="2"/>
    <s v="SAVE10"/>
    <x v="3"/>
    <n v="930.3"/>
  </r>
  <r>
    <s v="ORD200036"/>
    <x v="4"/>
    <x v="36"/>
    <x v="5"/>
    <n v="2"/>
    <n v="534.42999999999995"/>
    <s v="465 Main St"/>
    <x v="0"/>
    <x v="4"/>
    <s v="TRK50961250"/>
    <n v="5"/>
    <s v="None"/>
    <x v="3"/>
    <n v="1068.8599999999999"/>
  </r>
  <r>
    <s v="ORD200037"/>
    <x v="35"/>
    <x v="37"/>
    <x v="5"/>
    <n v="2"/>
    <n v="76.739999999999995"/>
    <s v="409 Main St"/>
    <x v="4"/>
    <x v="2"/>
    <s v="TRK94005261"/>
    <n v="7"/>
    <s v="SAVE10"/>
    <x v="0"/>
    <n v="153.47999999999999"/>
  </r>
  <r>
    <s v="ORD200038"/>
    <x v="36"/>
    <x v="38"/>
    <x v="5"/>
    <n v="1"/>
    <n v="245.89"/>
    <s v="549 Main St"/>
    <x v="0"/>
    <x v="3"/>
    <s v="TRK14835975"/>
    <n v="3"/>
    <s v="SAVE10"/>
    <x v="4"/>
    <n v="245.89"/>
  </r>
  <r>
    <s v="ORD200039"/>
    <x v="37"/>
    <x v="39"/>
    <x v="4"/>
    <n v="3"/>
    <n v="256.45999999999998"/>
    <s v="666 Main St"/>
    <x v="2"/>
    <x v="3"/>
    <s v="TRK85508960"/>
    <n v="4"/>
    <s v="SAVE10"/>
    <x v="1"/>
    <n v="769.37999999999988"/>
  </r>
  <r>
    <s v="ORD200040"/>
    <x v="38"/>
    <x v="40"/>
    <x v="6"/>
    <n v="2"/>
    <n v="344.02"/>
    <s v="267 Main St"/>
    <x v="1"/>
    <x v="3"/>
    <s v="TRK78967923"/>
    <n v="4"/>
    <s v="FREESHIP"/>
    <x v="0"/>
    <n v="688.04"/>
  </r>
  <r>
    <s v="ORD200041"/>
    <x v="39"/>
    <x v="41"/>
    <x v="0"/>
    <n v="3"/>
    <n v="611.45000000000005"/>
    <s v="657 Main St"/>
    <x v="3"/>
    <x v="4"/>
    <s v="TRK69733327"/>
    <n v="4"/>
    <s v="FREESHIP"/>
    <x v="0"/>
    <n v="1834.3500000000001"/>
  </r>
  <r>
    <s v="ORD200042"/>
    <x v="40"/>
    <x v="42"/>
    <x v="4"/>
    <n v="2"/>
    <n v="151.66"/>
    <s v="980 Main St"/>
    <x v="4"/>
    <x v="1"/>
    <s v="TRK40772558"/>
    <n v="6"/>
    <s v="None"/>
    <x v="0"/>
    <n v="303.32"/>
  </r>
  <r>
    <s v="ORD200043"/>
    <x v="41"/>
    <x v="43"/>
    <x v="3"/>
    <n v="3"/>
    <n v="499.21"/>
    <s v="871 Main St"/>
    <x v="1"/>
    <x v="1"/>
    <s v="TRK20351666"/>
    <n v="8"/>
    <s v="None"/>
    <x v="0"/>
    <n v="1497.6299999999999"/>
  </r>
  <r>
    <s v="ORD200044"/>
    <x v="42"/>
    <x v="44"/>
    <x v="1"/>
    <n v="2"/>
    <n v="550.17999999999995"/>
    <s v="996 Main St"/>
    <x v="3"/>
    <x v="2"/>
    <s v="TRK73848522"/>
    <n v="3"/>
    <s v="FREESHIP"/>
    <x v="1"/>
    <n v="1100.3599999999999"/>
  </r>
  <r>
    <s v="ORD200045"/>
    <x v="43"/>
    <x v="45"/>
    <x v="3"/>
    <n v="1"/>
    <n v="317.25"/>
    <s v="157 Main St"/>
    <x v="0"/>
    <x v="2"/>
    <s v="TRK47077395"/>
    <n v="1"/>
    <s v="SAVE10"/>
    <x v="3"/>
    <n v="317.25"/>
  </r>
  <r>
    <s v="ORD200046"/>
    <x v="44"/>
    <x v="46"/>
    <x v="0"/>
    <n v="4"/>
    <n v="550.14"/>
    <s v="223 Main St"/>
    <x v="0"/>
    <x v="4"/>
    <s v="TRK25100762"/>
    <n v="4"/>
    <s v="FREESHIP"/>
    <x v="0"/>
    <n v="2200.56"/>
  </r>
  <r>
    <s v="ORD200047"/>
    <x v="45"/>
    <x v="47"/>
    <x v="6"/>
    <n v="2"/>
    <n v="209.94"/>
    <s v="323 Main St"/>
    <x v="2"/>
    <x v="2"/>
    <s v="TRK42450754"/>
    <n v="3"/>
    <s v="FREESHIP"/>
    <x v="2"/>
    <n v="419.88"/>
  </r>
  <r>
    <s v="ORD200048"/>
    <x v="46"/>
    <x v="48"/>
    <x v="0"/>
    <n v="2"/>
    <n v="80.77"/>
    <s v="464 Main St"/>
    <x v="0"/>
    <x v="0"/>
    <s v="TRK38938858"/>
    <n v="4"/>
    <s v="None"/>
    <x v="4"/>
    <n v="161.54"/>
  </r>
  <r>
    <s v="ORD200049"/>
    <x v="47"/>
    <x v="49"/>
    <x v="4"/>
    <n v="1"/>
    <n v="30.44"/>
    <s v="633 Main St"/>
    <x v="2"/>
    <x v="0"/>
    <s v="TRK53272402"/>
    <n v="1"/>
    <s v="SAVE10"/>
    <x v="2"/>
    <n v="30.44"/>
  </r>
  <r>
    <s v="ORD200050"/>
    <x v="48"/>
    <x v="50"/>
    <x v="2"/>
    <n v="1"/>
    <n v="179.22"/>
    <s v="446 Main St"/>
    <x v="1"/>
    <x v="1"/>
    <s v="TRK14675049"/>
    <n v="6"/>
    <s v="FREESHIP"/>
    <x v="0"/>
    <n v="179.22"/>
  </r>
  <r>
    <s v="ORD200051"/>
    <x v="49"/>
    <x v="51"/>
    <x v="2"/>
    <n v="1"/>
    <n v="388.33"/>
    <s v="434 Main St"/>
    <x v="4"/>
    <x v="2"/>
    <s v="TRK67610289"/>
    <n v="2"/>
    <s v="SAVE10"/>
    <x v="3"/>
    <n v="388.33"/>
  </r>
  <r>
    <s v="ORD200052"/>
    <x v="50"/>
    <x v="52"/>
    <x v="2"/>
    <n v="1"/>
    <n v="586.44000000000005"/>
    <s v="232 Main St"/>
    <x v="1"/>
    <x v="2"/>
    <s v="TRK64320429"/>
    <n v="5"/>
    <s v="SAVE10"/>
    <x v="3"/>
    <n v="586.44000000000005"/>
  </r>
  <r>
    <s v="ORD200053"/>
    <x v="51"/>
    <x v="53"/>
    <x v="1"/>
    <n v="4"/>
    <n v="488.78"/>
    <s v="512 Main St"/>
    <x v="1"/>
    <x v="2"/>
    <s v="TRK94992552"/>
    <n v="5"/>
    <s v="FREESHIP"/>
    <x v="4"/>
    <n v="1955.12"/>
  </r>
  <r>
    <s v="ORD200054"/>
    <x v="52"/>
    <x v="54"/>
    <x v="3"/>
    <n v="1"/>
    <n v="280.25"/>
    <s v="623 Main St"/>
    <x v="1"/>
    <x v="4"/>
    <s v="TRK11014449"/>
    <n v="5"/>
    <s v="WINTER15"/>
    <x v="2"/>
    <n v="280.25"/>
  </r>
  <r>
    <s v="ORD200055"/>
    <x v="53"/>
    <x v="55"/>
    <x v="4"/>
    <n v="3"/>
    <n v="344.4"/>
    <s v="565 Main St"/>
    <x v="1"/>
    <x v="1"/>
    <s v="TRK67434829"/>
    <n v="3"/>
    <s v="None"/>
    <x v="3"/>
    <n v="1033.1999999999998"/>
  </r>
  <r>
    <s v="ORD200056"/>
    <x v="54"/>
    <x v="56"/>
    <x v="2"/>
    <n v="3"/>
    <n v="479.21"/>
    <s v="566 Main St"/>
    <x v="4"/>
    <x v="1"/>
    <s v="TRK62902341"/>
    <n v="5"/>
    <s v="WINTER15"/>
    <x v="1"/>
    <n v="1437.6299999999999"/>
  </r>
  <r>
    <s v="ORD200057"/>
    <x v="55"/>
    <x v="57"/>
    <x v="4"/>
    <n v="5"/>
    <n v="314.27"/>
    <s v="842 Main St"/>
    <x v="4"/>
    <x v="2"/>
    <s v="TRK52470128"/>
    <n v="6"/>
    <s v="SAVE10"/>
    <x v="0"/>
    <n v="1571.35"/>
  </r>
  <r>
    <s v="ORD200058"/>
    <x v="56"/>
    <x v="58"/>
    <x v="1"/>
    <n v="4"/>
    <n v="474.69"/>
    <s v="202 Main St"/>
    <x v="3"/>
    <x v="1"/>
    <s v="TRK70857868"/>
    <n v="6"/>
    <s v="SAVE10"/>
    <x v="4"/>
    <n v="1898.76"/>
  </r>
  <r>
    <s v="ORD200059"/>
    <x v="57"/>
    <x v="59"/>
    <x v="3"/>
    <n v="4"/>
    <n v="593.27"/>
    <s v="811 Main St"/>
    <x v="1"/>
    <x v="0"/>
    <s v="TRK47055028"/>
    <n v="5"/>
    <s v="None"/>
    <x v="3"/>
    <n v="2373.08"/>
  </r>
  <r>
    <s v="ORD200060"/>
    <x v="58"/>
    <x v="60"/>
    <x v="6"/>
    <n v="1"/>
    <n v="417.1"/>
    <s v="634 Main St"/>
    <x v="0"/>
    <x v="2"/>
    <s v="TRK23412025"/>
    <n v="3"/>
    <s v="FREESHIP"/>
    <x v="1"/>
    <n v="417.1"/>
  </r>
  <r>
    <s v="ORD200061"/>
    <x v="59"/>
    <x v="61"/>
    <x v="6"/>
    <n v="4"/>
    <n v="122.2"/>
    <s v="104 Main St"/>
    <x v="4"/>
    <x v="3"/>
    <s v="TRK43458485"/>
    <n v="7"/>
    <s v="FREESHIP"/>
    <x v="3"/>
    <n v="488.8"/>
  </r>
  <r>
    <s v="ORD200062"/>
    <x v="60"/>
    <x v="62"/>
    <x v="6"/>
    <n v="2"/>
    <n v="43.15"/>
    <s v="691 Main St"/>
    <x v="0"/>
    <x v="4"/>
    <s v="TRK12102911"/>
    <n v="3"/>
    <s v="WINTER15"/>
    <x v="2"/>
    <n v="86.3"/>
  </r>
  <r>
    <s v="ORD200063"/>
    <x v="61"/>
    <x v="63"/>
    <x v="3"/>
    <n v="1"/>
    <n v="564.86"/>
    <s v="813 Main St"/>
    <x v="0"/>
    <x v="0"/>
    <s v="TRK64283851"/>
    <n v="6"/>
    <s v="WINTER15"/>
    <x v="1"/>
    <n v="564.86"/>
  </r>
  <r>
    <s v="ORD200064"/>
    <x v="62"/>
    <x v="64"/>
    <x v="4"/>
    <n v="3"/>
    <n v="130.61000000000001"/>
    <s v="752 Main St"/>
    <x v="0"/>
    <x v="1"/>
    <s v="TRK55785217"/>
    <n v="4"/>
    <s v="FREESHIP"/>
    <x v="3"/>
    <n v="391.83000000000004"/>
  </r>
  <r>
    <s v="ORD200065"/>
    <x v="63"/>
    <x v="65"/>
    <x v="0"/>
    <n v="5"/>
    <n v="81.7"/>
    <s v="385 Main St"/>
    <x v="2"/>
    <x v="3"/>
    <s v="TRK13743703"/>
    <n v="6"/>
    <s v="None"/>
    <x v="0"/>
    <n v="408.5"/>
  </r>
  <r>
    <s v="ORD200066"/>
    <x v="64"/>
    <x v="66"/>
    <x v="3"/>
    <n v="5"/>
    <n v="127.18"/>
    <s v="715 Main St"/>
    <x v="4"/>
    <x v="1"/>
    <s v="TRK15488568"/>
    <n v="9"/>
    <s v="SAVE10"/>
    <x v="1"/>
    <n v="635.90000000000009"/>
  </r>
  <r>
    <s v="ORD200067"/>
    <x v="65"/>
    <x v="67"/>
    <x v="4"/>
    <n v="4"/>
    <n v="12.1"/>
    <s v="440 Main St"/>
    <x v="0"/>
    <x v="1"/>
    <s v="TRK55105323"/>
    <n v="8"/>
    <s v="None"/>
    <x v="4"/>
    <n v="48.4"/>
  </r>
  <r>
    <s v="ORD200068"/>
    <x v="66"/>
    <x v="68"/>
    <x v="3"/>
    <n v="3"/>
    <n v="490.92"/>
    <s v="709 Main St"/>
    <x v="2"/>
    <x v="4"/>
    <s v="TRK81665940"/>
    <n v="5"/>
    <s v="FREESHIP"/>
    <x v="2"/>
    <n v="1472.76"/>
  </r>
  <r>
    <s v="ORD200069"/>
    <x v="67"/>
    <x v="69"/>
    <x v="0"/>
    <n v="3"/>
    <n v="478.65"/>
    <s v="552 Main St"/>
    <x v="1"/>
    <x v="0"/>
    <s v="TRK35241775"/>
    <n v="4"/>
    <s v="None"/>
    <x v="1"/>
    <n v="1435.9499999999998"/>
  </r>
  <r>
    <s v="ORD200070"/>
    <x v="68"/>
    <x v="70"/>
    <x v="6"/>
    <n v="1"/>
    <n v="629.21"/>
    <s v="384 Main St"/>
    <x v="3"/>
    <x v="4"/>
    <s v="TRK27812282"/>
    <n v="2"/>
    <s v="FREESHIP"/>
    <x v="0"/>
    <n v="629.21"/>
  </r>
  <r>
    <s v="ORD200071"/>
    <x v="69"/>
    <x v="71"/>
    <x v="0"/>
    <n v="3"/>
    <n v="434.45"/>
    <s v="923 Main St"/>
    <x v="2"/>
    <x v="4"/>
    <s v="TRK28252730"/>
    <n v="4"/>
    <s v="None"/>
    <x v="1"/>
    <n v="1303.3499999999999"/>
  </r>
  <r>
    <s v="ORD200072"/>
    <x v="70"/>
    <x v="72"/>
    <x v="2"/>
    <n v="4"/>
    <n v="589.44000000000005"/>
    <s v="942 Main St"/>
    <x v="3"/>
    <x v="2"/>
    <s v="TRK87787793"/>
    <n v="5"/>
    <s v="None"/>
    <x v="3"/>
    <n v="2357.7600000000002"/>
  </r>
  <r>
    <s v="ORD200073"/>
    <x v="71"/>
    <x v="73"/>
    <x v="0"/>
    <n v="4"/>
    <n v="433.45"/>
    <s v="129 Main St"/>
    <x v="3"/>
    <x v="1"/>
    <s v="TRK79608389"/>
    <n v="4"/>
    <s v="None"/>
    <x v="3"/>
    <n v="1733.8"/>
  </r>
  <r>
    <s v="ORD200074"/>
    <x v="72"/>
    <x v="74"/>
    <x v="1"/>
    <n v="5"/>
    <n v="90.87"/>
    <s v="622 Main St"/>
    <x v="4"/>
    <x v="4"/>
    <s v="TRK64691287"/>
    <n v="5"/>
    <s v="None"/>
    <x v="0"/>
    <n v="454.35"/>
  </r>
  <r>
    <s v="ORD200075"/>
    <x v="73"/>
    <x v="75"/>
    <x v="2"/>
    <n v="3"/>
    <n v="398.17"/>
    <s v="917 Main St"/>
    <x v="0"/>
    <x v="3"/>
    <s v="TRK14846720"/>
    <n v="5"/>
    <s v="SAVE10"/>
    <x v="2"/>
    <n v="1194.51"/>
  </r>
  <r>
    <s v="ORD200076"/>
    <x v="74"/>
    <x v="76"/>
    <x v="5"/>
    <n v="4"/>
    <n v="382.88"/>
    <s v="239 Main St"/>
    <x v="4"/>
    <x v="1"/>
    <s v="TRK38224871"/>
    <n v="6"/>
    <s v="WINTER15"/>
    <x v="2"/>
    <n v="1531.52"/>
  </r>
  <r>
    <s v="ORD200077"/>
    <x v="75"/>
    <x v="77"/>
    <x v="1"/>
    <n v="1"/>
    <n v="583.17999999999995"/>
    <s v="348 Main St"/>
    <x v="2"/>
    <x v="2"/>
    <s v="TRK79810059"/>
    <n v="5"/>
    <s v="None"/>
    <x v="4"/>
    <n v="583.17999999999995"/>
  </r>
  <r>
    <s v="ORD200078"/>
    <x v="76"/>
    <x v="78"/>
    <x v="4"/>
    <n v="4"/>
    <n v="175.36"/>
    <s v="146 Main St"/>
    <x v="0"/>
    <x v="3"/>
    <s v="TRK68535532"/>
    <n v="4"/>
    <s v="FREESHIP"/>
    <x v="0"/>
    <n v="701.44"/>
  </r>
  <r>
    <s v="ORD200079"/>
    <x v="77"/>
    <x v="79"/>
    <x v="2"/>
    <n v="2"/>
    <n v="311.91000000000003"/>
    <s v="103 Main St"/>
    <x v="1"/>
    <x v="0"/>
    <s v="TRK13036341"/>
    <n v="2"/>
    <s v="None"/>
    <x v="3"/>
    <n v="623.82000000000005"/>
  </r>
  <r>
    <s v="ORD200080"/>
    <x v="78"/>
    <x v="80"/>
    <x v="1"/>
    <n v="3"/>
    <n v="589.55999999999995"/>
    <s v="591 Main St"/>
    <x v="1"/>
    <x v="2"/>
    <s v="TRK28840655"/>
    <n v="6"/>
    <s v="None"/>
    <x v="3"/>
    <n v="1768.6799999999998"/>
  </r>
  <r>
    <s v="ORD200081"/>
    <x v="79"/>
    <x v="81"/>
    <x v="0"/>
    <n v="2"/>
    <n v="394.3"/>
    <s v="496 Main St"/>
    <x v="4"/>
    <x v="0"/>
    <s v="TRK59876213"/>
    <n v="6"/>
    <s v="FREESHIP"/>
    <x v="2"/>
    <n v="788.6"/>
  </r>
  <r>
    <s v="ORD200082"/>
    <x v="80"/>
    <x v="82"/>
    <x v="2"/>
    <n v="4"/>
    <n v="565.20000000000005"/>
    <s v="971 Main St"/>
    <x v="0"/>
    <x v="0"/>
    <s v="TRK66906607"/>
    <n v="9"/>
    <s v="SAVE10"/>
    <x v="4"/>
    <n v="2260.8000000000002"/>
  </r>
  <r>
    <s v="ORD200083"/>
    <x v="60"/>
    <x v="83"/>
    <x v="5"/>
    <n v="4"/>
    <n v="540.41"/>
    <s v="989 Main St"/>
    <x v="2"/>
    <x v="1"/>
    <s v="TRK75112172"/>
    <n v="6"/>
    <s v="None"/>
    <x v="1"/>
    <n v="2161.64"/>
  </r>
  <r>
    <s v="ORD200084"/>
    <x v="81"/>
    <x v="84"/>
    <x v="0"/>
    <n v="2"/>
    <n v="165.49"/>
    <s v="967 Main St"/>
    <x v="1"/>
    <x v="0"/>
    <s v="TRK34121529"/>
    <n v="4"/>
    <s v="WINTER15"/>
    <x v="0"/>
    <n v="330.98"/>
  </r>
  <r>
    <s v="ORD200085"/>
    <x v="82"/>
    <x v="85"/>
    <x v="2"/>
    <n v="3"/>
    <n v="146.72999999999999"/>
    <s v="768 Main St"/>
    <x v="4"/>
    <x v="3"/>
    <s v="TRK93538334"/>
    <n v="8"/>
    <s v="FREESHIP"/>
    <x v="2"/>
    <n v="440.18999999999994"/>
  </r>
  <r>
    <s v="ORD200086"/>
    <x v="83"/>
    <x v="86"/>
    <x v="4"/>
    <n v="5"/>
    <n v="643.03"/>
    <s v="447 Main St"/>
    <x v="1"/>
    <x v="1"/>
    <s v="TRK93504166"/>
    <n v="5"/>
    <s v="FREESHIP"/>
    <x v="1"/>
    <n v="3215.1499999999996"/>
  </r>
  <r>
    <s v="ORD200087"/>
    <x v="84"/>
    <x v="87"/>
    <x v="2"/>
    <n v="3"/>
    <n v="225.11"/>
    <s v="915 Main St"/>
    <x v="4"/>
    <x v="0"/>
    <s v="TRK46976391"/>
    <n v="4"/>
    <s v="SAVE10"/>
    <x v="3"/>
    <n v="675.33"/>
  </r>
  <r>
    <s v="ORD200088"/>
    <x v="85"/>
    <x v="88"/>
    <x v="6"/>
    <n v="3"/>
    <n v="114.81"/>
    <s v="318 Main St"/>
    <x v="3"/>
    <x v="1"/>
    <s v="TRK19831653"/>
    <n v="7"/>
    <s v="None"/>
    <x v="4"/>
    <n v="344.43"/>
  </r>
  <r>
    <s v="ORD200089"/>
    <x v="86"/>
    <x v="89"/>
    <x v="4"/>
    <n v="5"/>
    <n v="455.33"/>
    <s v="291 Main St"/>
    <x v="2"/>
    <x v="1"/>
    <s v="TRK78912978"/>
    <n v="8"/>
    <s v="FREESHIP"/>
    <x v="4"/>
    <n v="2276.65"/>
  </r>
  <r>
    <s v="ORD200090"/>
    <x v="87"/>
    <x v="90"/>
    <x v="3"/>
    <n v="4"/>
    <n v="182.08"/>
    <s v="611 Main St"/>
    <x v="3"/>
    <x v="3"/>
    <s v="TRK35828122"/>
    <n v="4"/>
    <s v="SAVE10"/>
    <x v="2"/>
    <n v="728.32"/>
  </r>
  <r>
    <s v="ORD200091"/>
    <x v="88"/>
    <x v="91"/>
    <x v="5"/>
    <n v="5"/>
    <n v="492.75"/>
    <s v="196 Main St"/>
    <x v="4"/>
    <x v="0"/>
    <s v="TRK40986666"/>
    <n v="6"/>
    <s v="WINTER15"/>
    <x v="1"/>
    <n v="2463.75"/>
  </r>
  <r>
    <s v="ORD200092"/>
    <x v="89"/>
    <x v="92"/>
    <x v="4"/>
    <n v="4"/>
    <n v="48.61"/>
    <s v="203 Main St"/>
    <x v="1"/>
    <x v="0"/>
    <s v="TRK46531075"/>
    <n v="7"/>
    <s v="FREESHIP"/>
    <x v="3"/>
    <n v="194.44"/>
  </r>
  <r>
    <s v="ORD200093"/>
    <x v="90"/>
    <x v="93"/>
    <x v="6"/>
    <n v="4"/>
    <n v="431.01"/>
    <s v="837 Main St"/>
    <x v="2"/>
    <x v="2"/>
    <s v="TRK65990229"/>
    <n v="7"/>
    <s v="None"/>
    <x v="1"/>
    <n v="1724.04"/>
  </r>
  <r>
    <s v="ORD200094"/>
    <x v="91"/>
    <x v="94"/>
    <x v="3"/>
    <n v="1"/>
    <n v="531.17999999999995"/>
    <s v="781 Main St"/>
    <x v="3"/>
    <x v="2"/>
    <s v="TRK12780193"/>
    <n v="6"/>
    <s v="WINTER15"/>
    <x v="0"/>
    <n v="531.17999999999995"/>
  </r>
  <r>
    <s v="ORD200095"/>
    <x v="92"/>
    <x v="95"/>
    <x v="4"/>
    <n v="4"/>
    <n v="117.51"/>
    <s v="839 Main St"/>
    <x v="0"/>
    <x v="2"/>
    <s v="TRK60179774"/>
    <n v="7"/>
    <s v="None"/>
    <x v="1"/>
    <n v="470.04"/>
  </r>
  <r>
    <s v="ORD200096"/>
    <x v="93"/>
    <x v="96"/>
    <x v="1"/>
    <n v="2"/>
    <n v="232.83"/>
    <s v="103 Main St"/>
    <x v="3"/>
    <x v="3"/>
    <s v="TRK85696091"/>
    <n v="7"/>
    <s v="None"/>
    <x v="0"/>
    <n v="465.66"/>
  </r>
  <r>
    <s v="ORD200097"/>
    <x v="94"/>
    <x v="97"/>
    <x v="2"/>
    <n v="5"/>
    <n v="619.52"/>
    <s v="922 Main St"/>
    <x v="0"/>
    <x v="4"/>
    <s v="TRK40621141"/>
    <n v="9"/>
    <s v="None"/>
    <x v="2"/>
    <n v="3097.6"/>
  </r>
  <r>
    <s v="ORD200098"/>
    <x v="90"/>
    <x v="98"/>
    <x v="4"/>
    <n v="2"/>
    <n v="228.54"/>
    <s v="533 Main St"/>
    <x v="0"/>
    <x v="4"/>
    <s v="TRK54983109"/>
    <n v="3"/>
    <s v="None"/>
    <x v="2"/>
    <n v="457.08"/>
  </r>
  <r>
    <s v="ORD200099"/>
    <x v="95"/>
    <x v="99"/>
    <x v="4"/>
    <n v="1"/>
    <n v="201.58"/>
    <s v="717 Main St"/>
    <x v="0"/>
    <x v="1"/>
    <s v="TRK51829648"/>
    <n v="2"/>
    <s v="WINTER15"/>
    <x v="2"/>
    <n v="201.58"/>
  </r>
  <r>
    <s v="ORD200100"/>
    <x v="96"/>
    <x v="100"/>
    <x v="1"/>
    <n v="3"/>
    <n v="664.79"/>
    <s v="743 Main St"/>
    <x v="1"/>
    <x v="3"/>
    <s v="TRK53783265"/>
    <n v="6"/>
    <s v="None"/>
    <x v="3"/>
    <n v="1994.37"/>
  </r>
  <r>
    <s v="ORD200101"/>
    <x v="97"/>
    <x v="101"/>
    <x v="4"/>
    <n v="1"/>
    <n v="381.02"/>
    <s v="152 Main St"/>
    <x v="4"/>
    <x v="0"/>
    <s v="TRK19286291"/>
    <n v="6"/>
    <s v="None"/>
    <x v="4"/>
    <n v="381.02"/>
  </r>
  <r>
    <s v="ORD200102"/>
    <x v="98"/>
    <x v="102"/>
    <x v="5"/>
    <n v="2"/>
    <n v="70.34"/>
    <s v="944 Main St"/>
    <x v="3"/>
    <x v="1"/>
    <s v="TRK47362236"/>
    <n v="3"/>
    <s v="FREESHIP"/>
    <x v="2"/>
    <n v="140.68"/>
  </r>
  <r>
    <s v="ORD200103"/>
    <x v="99"/>
    <x v="103"/>
    <x v="1"/>
    <n v="4"/>
    <n v="218.43"/>
    <s v="514 Main St"/>
    <x v="2"/>
    <x v="1"/>
    <s v="TRK86296459"/>
    <n v="9"/>
    <s v="SAVE10"/>
    <x v="2"/>
    <n v="873.72"/>
  </r>
  <r>
    <s v="ORD200104"/>
    <x v="100"/>
    <x v="104"/>
    <x v="1"/>
    <n v="1"/>
    <n v="582.04"/>
    <s v="647 Main St"/>
    <x v="3"/>
    <x v="3"/>
    <s v="TRK39906058"/>
    <n v="1"/>
    <s v="FREESHIP"/>
    <x v="2"/>
    <n v="582.04"/>
  </r>
  <r>
    <s v="ORD200105"/>
    <x v="101"/>
    <x v="105"/>
    <x v="4"/>
    <n v="3"/>
    <n v="185.4"/>
    <s v="810 Main St"/>
    <x v="3"/>
    <x v="1"/>
    <s v="TRK68792129"/>
    <n v="7"/>
    <s v="None"/>
    <x v="3"/>
    <n v="556.20000000000005"/>
  </r>
  <r>
    <s v="ORD200106"/>
    <x v="102"/>
    <x v="106"/>
    <x v="6"/>
    <n v="3"/>
    <n v="465.05"/>
    <s v="126 Main St"/>
    <x v="2"/>
    <x v="1"/>
    <s v="TRK96777924"/>
    <n v="3"/>
    <s v="SAVE10"/>
    <x v="2"/>
    <n v="1395.15"/>
  </r>
  <r>
    <s v="ORD200107"/>
    <x v="14"/>
    <x v="107"/>
    <x v="4"/>
    <n v="5"/>
    <n v="670.75"/>
    <s v="848 Main St"/>
    <x v="3"/>
    <x v="0"/>
    <s v="TRK34392124"/>
    <n v="8"/>
    <s v="FREESHIP"/>
    <x v="0"/>
    <n v="3353.75"/>
  </r>
  <r>
    <s v="ORD200108"/>
    <x v="103"/>
    <x v="108"/>
    <x v="5"/>
    <n v="5"/>
    <n v="48.38"/>
    <s v="522 Main St"/>
    <x v="3"/>
    <x v="3"/>
    <s v="TRK28522330"/>
    <n v="9"/>
    <s v="WINTER15"/>
    <x v="2"/>
    <n v="241.9"/>
  </r>
  <r>
    <s v="ORD200109"/>
    <x v="104"/>
    <x v="109"/>
    <x v="6"/>
    <n v="3"/>
    <n v="592.87"/>
    <s v="131 Main St"/>
    <x v="3"/>
    <x v="0"/>
    <s v="TRK18674578"/>
    <n v="3"/>
    <s v="FREESHIP"/>
    <x v="1"/>
    <n v="1778.6100000000001"/>
  </r>
  <r>
    <s v="ORD200110"/>
    <x v="105"/>
    <x v="110"/>
    <x v="2"/>
    <n v="1"/>
    <n v="220.77"/>
    <s v="388 Main St"/>
    <x v="3"/>
    <x v="4"/>
    <s v="TRK32062079"/>
    <n v="5"/>
    <s v="FREESHIP"/>
    <x v="0"/>
    <n v="220.77"/>
  </r>
  <r>
    <s v="ORD200111"/>
    <x v="106"/>
    <x v="111"/>
    <x v="6"/>
    <n v="3"/>
    <n v="309.22000000000003"/>
    <s v="620 Main St"/>
    <x v="1"/>
    <x v="1"/>
    <s v="TRK74904969"/>
    <n v="7"/>
    <s v="FREESHIP"/>
    <x v="4"/>
    <n v="927.66000000000008"/>
  </r>
  <r>
    <s v="ORD200112"/>
    <x v="107"/>
    <x v="112"/>
    <x v="0"/>
    <n v="1"/>
    <n v="410.6"/>
    <s v="423 Main St"/>
    <x v="1"/>
    <x v="1"/>
    <s v="TRK17062206"/>
    <n v="2"/>
    <s v="WINTER15"/>
    <x v="1"/>
    <n v="410.6"/>
  </r>
  <r>
    <s v="ORD200113"/>
    <x v="108"/>
    <x v="113"/>
    <x v="5"/>
    <n v="5"/>
    <n v="190.08"/>
    <s v="605 Main St"/>
    <x v="4"/>
    <x v="0"/>
    <s v="TRK73954365"/>
    <n v="9"/>
    <s v="FREESHIP"/>
    <x v="0"/>
    <n v="950.40000000000009"/>
  </r>
  <r>
    <s v="ORD200114"/>
    <x v="109"/>
    <x v="114"/>
    <x v="0"/>
    <n v="5"/>
    <n v="498.48"/>
    <s v="115 Main St"/>
    <x v="1"/>
    <x v="4"/>
    <s v="TRK29708128"/>
    <n v="8"/>
    <s v="SAVE10"/>
    <x v="4"/>
    <n v="2492.4"/>
  </r>
  <r>
    <s v="ORD200115"/>
    <x v="110"/>
    <x v="115"/>
    <x v="1"/>
    <n v="5"/>
    <n v="374.99"/>
    <s v="122 Main St"/>
    <x v="1"/>
    <x v="0"/>
    <s v="TRK23670394"/>
    <n v="9"/>
    <s v="SAVE10"/>
    <x v="3"/>
    <n v="1874.95"/>
  </r>
  <r>
    <s v="ORD200116"/>
    <x v="111"/>
    <x v="116"/>
    <x v="4"/>
    <n v="4"/>
    <n v="291.35000000000002"/>
    <s v="109 Main St"/>
    <x v="2"/>
    <x v="1"/>
    <s v="TRK66669207"/>
    <n v="6"/>
    <s v="WINTER15"/>
    <x v="3"/>
    <n v="1165.4000000000001"/>
  </r>
  <r>
    <s v="ORD200117"/>
    <x v="98"/>
    <x v="117"/>
    <x v="2"/>
    <n v="1"/>
    <n v="535.5"/>
    <s v="593 Main St"/>
    <x v="3"/>
    <x v="1"/>
    <s v="TRK81888598"/>
    <n v="5"/>
    <s v="WINTER15"/>
    <x v="1"/>
    <n v="535.5"/>
  </r>
  <r>
    <s v="ORD200118"/>
    <x v="112"/>
    <x v="118"/>
    <x v="4"/>
    <n v="5"/>
    <n v="502.71"/>
    <s v="807 Main St"/>
    <x v="3"/>
    <x v="0"/>
    <s v="TRK61957665"/>
    <n v="7"/>
    <s v="FREESHIP"/>
    <x v="4"/>
    <n v="2513.5499999999997"/>
  </r>
  <r>
    <s v="ORD200119"/>
    <x v="113"/>
    <x v="119"/>
    <x v="6"/>
    <n v="2"/>
    <n v="534.66999999999996"/>
    <s v="187 Main St"/>
    <x v="0"/>
    <x v="0"/>
    <s v="TRK47373682"/>
    <n v="7"/>
    <s v="FREESHIP"/>
    <x v="1"/>
    <n v="1069.3399999999999"/>
  </r>
  <r>
    <s v="ORD200120"/>
    <x v="114"/>
    <x v="120"/>
    <x v="2"/>
    <n v="4"/>
    <n v="629.34"/>
    <s v="986 Main St"/>
    <x v="4"/>
    <x v="1"/>
    <s v="TRK66218053"/>
    <n v="4"/>
    <s v="WINTER15"/>
    <x v="0"/>
    <n v="2517.36"/>
  </r>
  <r>
    <s v="ORD200121"/>
    <x v="115"/>
    <x v="121"/>
    <x v="6"/>
    <n v="1"/>
    <n v="410.78"/>
    <s v="673 Main St"/>
    <x v="4"/>
    <x v="1"/>
    <s v="TRK24138598"/>
    <n v="1"/>
    <s v="FREESHIP"/>
    <x v="0"/>
    <n v="410.78"/>
  </r>
  <r>
    <s v="ORD200122"/>
    <x v="116"/>
    <x v="122"/>
    <x v="5"/>
    <n v="2"/>
    <n v="533.02"/>
    <s v="588 Main St"/>
    <x v="3"/>
    <x v="0"/>
    <s v="TRK30422853"/>
    <n v="2"/>
    <s v="None"/>
    <x v="3"/>
    <n v="1066.04"/>
  </r>
  <r>
    <s v="ORD200123"/>
    <x v="117"/>
    <x v="123"/>
    <x v="6"/>
    <n v="3"/>
    <n v="278.04000000000002"/>
    <s v="727 Main St"/>
    <x v="1"/>
    <x v="3"/>
    <s v="TRK62182901"/>
    <n v="5"/>
    <s v="None"/>
    <x v="0"/>
    <n v="834.12000000000012"/>
  </r>
  <r>
    <s v="ORD200124"/>
    <x v="118"/>
    <x v="124"/>
    <x v="4"/>
    <n v="4"/>
    <n v="283.79000000000002"/>
    <s v="563 Main St"/>
    <x v="1"/>
    <x v="4"/>
    <s v="TRK85321126"/>
    <n v="8"/>
    <s v="None"/>
    <x v="4"/>
    <n v="1135.1600000000001"/>
  </r>
  <r>
    <s v="ORD200125"/>
    <x v="119"/>
    <x v="125"/>
    <x v="1"/>
    <n v="2"/>
    <n v="512.65"/>
    <s v="758 Main St"/>
    <x v="2"/>
    <x v="0"/>
    <s v="TRK81846174"/>
    <n v="5"/>
    <s v="SAVE10"/>
    <x v="2"/>
    <n v="1025.3"/>
  </r>
  <r>
    <s v="ORD200126"/>
    <x v="120"/>
    <x v="126"/>
    <x v="6"/>
    <n v="4"/>
    <n v="275.5"/>
    <s v="353 Main St"/>
    <x v="3"/>
    <x v="0"/>
    <s v="TRK68250319"/>
    <n v="8"/>
    <s v="FREESHIP"/>
    <x v="4"/>
    <n v="1102"/>
  </r>
  <r>
    <s v="ORD200127"/>
    <x v="121"/>
    <x v="127"/>
    <x v="6"/>
    <n v="3"/>
    <n v="469.32"/>
    <s v="365 Main St"/>
    <x v="0"/>
    <x v="0"/>
    <s v="TRK73929833"/>
    <n v="3"/>
    <s v="None"/>
    <x v="4"/>
    <n v="1407.96"/>
  </r>
  <r>
    <s v="ORD200128"/>
    <x v="96"/>
    <x v="128"/>
    <x v="2"/>
    <n v="4"/>
    <n v="21.07"/>
    <s v="244 Main St"/>
    <x v="3"/>
    <x v="3"/>
    <s v="TRK41432648"/>
    <n v="4"/>
    <s v="FREESHIP"/>
    <x v="4"/>
    <n v="84.28"/>
  </r>
  <r>
    <s v="ORD200129"/>
    <x v="122"/>
    <x v="129"/>
    <x v="5"/>
    <n v="4"/>
    <n v="263.93"/>
    <s v="427 Main St"/>
    <x v="0"/>
    <x v="0"/>
    <s v="TRK72481234"/>
    <n v="4"/>
    <s v="FREESHIP"/>
    <x v="3"/>
    <n v="1055.72"/>
  </r>
  <r>
    <s v="ORD200130"/>
    <x v="123"/>
    <x v="130"/>
    <x v="6"/>
    <n v="3"/>
    <n v="501.3"/>
    <s v="513 Main St"/>
    <x v="1"/>
    <x v="1"/>
    <s v="TRK88360704"/>
    <n v="3"/>
    <s v="WINTER15"/>
    <x v="3"/>
    <n v="1503.9"/>
  </r>
  <r>
    <s v="ORD200131"/>
    <x v="124"/>
    <x v="131"/>
    <x v="2"/>
    <n v="1"/>
    <n v="84.8"/>
    <s v="606 Main St"/>
    <x v="3"/>
    <x v="4"/>
    <s v="TRK51648833"/>
    <n v="5"/>
    <s v="None"/>
    <x v="0"/>
    <n v="84.8"/>
  </r>
  <r>
    <s v="ORD200132"/>
    <x v="125"/>
    <x v="132"/>
    <x v="2"/>
    <n v="4"/>
    <n v="450.75"/>
    <s v="583 Main St"/>
    <x v="2"/>
    <x v="0"/>
    <s v="TRK13137948"/>
    <n v="6"/>
    <s v="WINTER15"/>
    <x v="2"/>
    <n v="1803"/>
  </r>
  <r>
    <s v="ORD200133"/>
    <x v="126"/>
    <x v="133"/>
    <x v="3"/>
    <n v="4"/>
    <n v="302.05"/>
    <s v="636 Main St"/>
    <x v="0"/>
    <x v="1"/>
    <s v="TRK68969625"/>
    <n v="6"/>
    <s v="SAVE10"/>
    <x v="4"/>
    <n v="1208.2"/>
  </r>
  <r>
    <s v="ORD200134"/>
    <x v="127"/>
    <x v="134"/>
    <x v="5"/>
    <n v="2"/>
    <n v="199.7"/>
    <s v="583 Main St"/>
    <x v="4"/>
    <x v="4"/>
    <s v="TRK17354894"/>
    <n v="4"/>
    <s v="None"/>
    <x v="2"/>
    <n v="399.4"/>
  </r>
  <r>
    <s v="ORD200135"/>
    <x v="128"/>
    <x v="135"/>
    <x v="4"/>
    <n v="2"/>
    <n v="68.81"/>
    <s v="642 Main St"/>
    <x v="3"/>
    <x v="0"/>
    <s v="TRK86742257"/>
    <n v="5"/>
    <s v="SAVE10"/>
    <x v="1"/>
    <n v="137.62"/>
  </r>
  <r>
    <s v="ORD200136"/>
    <x v="129"/>
    <x v="136"/>
    <x v="5"/>
    <n v="1"/>
    <n v="44.35"/>
    <s v="595 Main St"/>
    <x v="3"/>
    <x v="1"/>
    <s v="TRK67820278"/>
    <n v="1"/>
    <s v="SAVE10"/>
    <x v="0"/>
    <n v="44.35"/>
  </r>
  <r>
    <s v="ORD200137"/>
    <x v="130"/>
    <x v="137"/>
    <x v="0"/>
    <n v="2"/>
    <n v="250.98"/>
    <s v="598 Main St"/>
    <x v="2"/>
    <x v="3"/>
    <s v="TRK12242337"/>
    <n v="5"/>
    <s v="None"/>
    <x v="4"/>
    <n v="501.96"/>
  </r>
  <r>
    <s v="ORD200138"/>
    <x v="131"/>
    <x v="138"/>
    <x v="2"/>
    <n v="1"/>
    <n v="298.06"/>
    <s v="478 Main St"/>
    <x v="0"/>
    <x v="4"/>
    <s v="TRK31863841"/>
    <n v="3"/>
    <s v="WINTER15"/>
    <x v="4"/>
    <n v="298.06"/>
  </r>
  <r>
    <s v="ORD200139"/>
    <x v="132"/>
    <x v="139"/>
    <x v="1"/>
    <n v="1"/>
    <n v="583.9"/>
    <s v="714 Main St"/>
    <x v="4"/>
    <x v="2"/>
    <s v="TRK33114521"/>
    <n v="1"/>
    <s v="None"/>
    <x v="2"/>
    <n v="583.9"/>
  </r>
  <r>
    <s v="ORD200140"/>
    <x v="133"/>
    <x v="140"/>
    <x v="3"/>
    <n v="3"/>
    <n v="528.14"/>
    <s v="388 Main St"/>
    <x v="1"/>
    <x v="3"/>
    <s v="TRK38624225"/>
    <n v="3"/>
    <s v="FREESHIP"/>
    <x v="2"/>
    <n v="1584.42"/>
  </r>
  <r>
    <s v="ORD200141"/>
    <x v="134"/>
    <x v="141"/>
    <x v="4"/>
    <n v="3"/>
    <n v="684.14"/>
    <s v="151 Main St"/>
    <x v="4"/>
    <x v="1"/>
    <s v="TRK66230753"/>
    <n v="3"/>
    <s v="WINTER15"/>
    <x v="0"/>
    <n v="2052.42"/>
  </r>
  <r>
    <s v="ORD200142"/>
    <x v="135"/>
    <x v="142"/>
    <x v="6"/>
    <n v="5"/>
    <n v="272.77"/>
    <s v="573 Main St"/>
    <x v="4"/>
    <x v="4"/>
    <s v="TRK79451491"/>
    <n v="7"/>
    <s v="WINTER15"/>
    <x v="2"/>
    <n v="1363.85"/>
  </r>
  <r>
    <s v="ORD200143"/>
    <x v="136"/>
    <x v="143"/>
    <x v="3"/>
    <n v="4"/>
    <n v="400.07"/>
    <s v="933 Main St"/>
    <x v="1"/>
    <x v="0"/>
    <s v="TRK34654244"/>
    <n v="5"/>
    <s v="None"/>
    <x v="1"/>
    <n v="1600.28"/>
  </r>
  <r>
    <s v="ORD200144"/>
    <x v="128"/>
    <x v="144"/>
    <x v="6"/>
    <n v="5"/>
    <n v="219.78"/>
    <s v="895 Main St"/>
    <x v="2"/>
    <x v="4"/>
    <s v="TRK80100887"/>
    <n v="8"/>
    <s v="None"/>
    <x v="3"/>
    <n v="1098.9000000000001"/>
  </r>
  <r>
    <s v="ORD200145"/>
    <x v="17"/>
    <x v="145"/>
    <x v="4"/>
    <n v="3"/>
    <n v="146.91"/>
    <s v="798 Main St"/>
    <x v="2"/>
    <x v="3"/>
    <s v="TRK29318610"/>
    <n v="6"/>
    <s v="FREESHIP"/>
    <x v="4"/>
    <n v="440.73"/>
  </r>
  <r>
    <s v="ORD200146"/>
    <x v="137"/>
    <x v="146"/>
    <x v="2"/>
    <n v="2"/>
    <n v="411.49"/>
    <s v="404 Main St"/>
    <x v="2"/>
    <x v="2"/>
    <s v="TRK68893369"/>
    <n v="4"/>
    <s v="None"/>
    <x v="0"/>
    <n v="822.98"/>
  </r>
  <r>
    <s v="ORD200147"/>
    <x v="138"/>
    <x v="147"/>
    <x v="5"/>
    <n v="2"/>
    <n v="465.18"/>
    <s v="893 Main St"/>
    <x v="2"/>
    <x v="1"/>
    <s v="TRK16196000"/>
    <n v="2"/>
    <s v="SAVE10"/>
    <x v="4"/>
    <n v="930.36"/>
  </r>
  <r>
    <s v="ORD200148"/>
    <x v="139"/>
    <x v="148"/>
    <x v="1"/>
    <n v="2"/>
    <n v="319.91000000000003"/>
    <s v="139 Main St"/>
    <x v="2"/>
    <x v="1"/>
    <s v="TRK56853491"/>
    <n v="3"/>
    <s v="WINTER15"/>
    <x v="4"/>
    <n v="639.82000000000005"/>
  </r>
  <r>
    <s v="ORD200149"/>
    <x v="140"/>
    <x v="149"/>
    <x v="5"/>
    <n v="1"/>
    <n v="217.56"/>
    <s v="174 Main St"/>
    <x v="0"/>
    <x v="3"/>
    <s v="TRK47153818"/>
    <n v="3"/>
    <s v="None"/>
    <x v="3"/>
    <n v="217.56"/>
  </r>
  <r>
    <s v="ORD200150"/>
    <x v="141"/>
    <x v="150"/>
    <x v="1"/>
    <n v="2"/>
    <n v="105.57"/>
    <s v="981 Main St"/>
    <x v="0"/>
    <x v="2"/>
    <s v="TRK29878837"/>
    <n v="5"/>
    <s v="WINTER15"/>
    <x v="4"/>
    <n v="211.14"/>
  </r>
  <r>
    <s v="ORD200151"/>
    <x v="142"/>
    <x v="151"/>
    <x v="4"/>
    <n v="5"/>
    <n v="444.76"/>
    <s v="947 Main St"/>
    <x v="0"/>
    <x v="2"/>
    <s v="TRK91226500"/>
    <n v="7"/>
    <s v="None"/>
    <x v="2"/>
    <n v="2223.8000000000002"/>
  </r>
  <r>
    <s v="ORD200152"/>
    <x v="143"/>
    <x v="152"/>
    <x v="3"/>
    <n v="2"/>
    <n v="399.04"/>
    <s v="659 Main St"/>
    <x v="4"/>
    <x v="1"/>
    <s v="TRK90329250"/>
    <n v="3"/>
    <s v="FREESHIP"/>
    <x v="1"/>
    <n v="798.08"/>
  </r>
  <r>
    <s v="ORD200153"/>
    <x v="144"/>
    <x v="153"/>
    <x v="3"/>
    <n v="4"/>
    <n v="534.48"/>
    <s v="437 Main St"/>
    <x v="1"/>
    <x v="2"/>
    <s v="TRK95992269"/>
    <n v="9"/>
    <s v="WINTER15"/>
    <x v="0"/>
    <n v="2137.92"/>
  </r>
  <r>
    <s v="ORD200154"/>
    <x v="145"/>
    <x v="154"/>
    <x v="1"/>
    <n v="4"/>
    <n v="408.21"/>
    <s v="727 Main St"/>
    <x v="2"/>
    <x v="4"/>
    <s v="TRK13955543"/>
    <n v="9"/>
    <s v="None"/>
    <x v="0"/>
    <n v="1632.84"/>
  </r>
  <r>
    <s v="ORD200155"/>
    <x v="146"/>
    <x v="155"/>
    <x v="1"/>
    <n v="1"/>
    <n v="424.4"/>
    <s v="446 Main St"/>
    <x v="1"/>
    <x v="0"/>
    <s v="TRK20706408"/>
    <n v="6"/>
    <s v="WINTER15"/>
    <x v="1"/>
    <n v="424.4"/>
  </r>
  <r>
    <s v="ORD200156"/>
    <x v="147"/>
    <x v="156"/>
    <x v="3"/>
    <n v="2"/>
    <n v="269.83"/>
    <s v="651 Main St"/>
    <x v="1"/>
    <x v="3"/>
    <s v="TRK24451893"/>
    <n v="4"/>
    <s v="SAVE10"/>
    <x v="2"/>
    <n v="539.66"/>
  </r>
  <r>
    <s v="ORD200157"/>
    <x v="148"/>
    <x v="157"/>
    <x v="0"/>
    <n v="2"/>
    <n v="564.58000000000004"/>
    <s v="636 Main St"/>
    <x v="1"/>
    <x v="2"/>
    <s v="TRK71227815"/>
    <n v="4"/>
    <s v="WINTER15"/>
    <x v="3"/>
    <n v="1129.1600000000001"/>
  </r>
  <r>
    <s v="ORD200158"/>
    <x v="149"/>
    <x v="158"/>
    <x v="2"/>
    <n v="1"/>
    <n v="331.06"/>
    <s v="737 Main St"/>
    <x v="2"/>
    <x v="4"/>
    <s v="TRK46335144"/>
    <n v="5"/>
    <s v="WINTER15"/>
    <x v="0"/>
    <n v="331.06"/>
  </r>
  <r>
    <s v="ORD200159"/>
    <x v="150"/>
    <x v="159"/>
    <x v="4"/>
    <n v="1"/>
    <n v="299.35000000000002"/>
    <s v="819 Main St"/>
    <x v="2"/>
    <x v="1"/>
    <s v="TRK50921780"/>
    <n v="5"/>
    <s v="WINTER15"/>
    <x v="2"/>
    <n v="299.35000000000002"/>
  </r>
  <r>
    <s v="ORD200160"/>
    <x v="96"/>
    <x v="160"/>
    <x v="0"/>
    <n v="4"/>
    <n v="101.32"/>
    <s v="240 Main St"/>
    <x v="4"/>
    <x v="4"/>
    <s v="TRK81738254"/>
    <n v="7"/>
    <s v="None"/>
    <x v="1"/>
    <n v="405.28"/>
  </r>
  <r>
    <s v="ORD200161"/>
    <x v="151"/>
    <x v="161"/>
    <x v="0"/>
    <n v="1"/>
    <n v="211.14"/>
    <s v="513 Main St"/>
    <x v="2"/>
    <x v="1"/>
    <s v="TRK53784452"/>
    <n v="1"/>
    <s v="SAVE10"/>
    <x v="3"/>
    <n v="211.14"/>
  </r>
  <r>
    <s v="ORD200162"/>
    <x v="152"/>
    <x v="162"/>
    <x v="3"/>
    <n v="3"/>
    <n v="65.86"/>
    <s v="917 Main St"/>
    <x v="1"/>
    <x v="4"/>
    <s v="TRK79854624"/>
    <n v="8"/>
    <s v="WINTER15"/>
    <x v="4"/>
    <n v="197.57999999999998"/>
  </r>
  <r>
    <s v="ORD200163"/>
    <x v="53"/>
    <x v="163"/>
    <x v="2"/>
    <n v="1"/>
    <n v="641.39"/>
    <s v="277 Main St"/>
    <x v="1"/>
    <x v="1"/>
    <s v="TRK16695001"/>
    <n v="1"/>
    <s v="None"/>
    <x v="1"/>
    <n v="641.39"/>
  </r>
  <r>
    <s v="ORD200164"/>
    <x v="153"/>
    <x v="164"/>
    <x v="6"/>
    <n v="5"/>
    <n v="536.58000000000004"/>
    <s v="667 Main St"/>
    <x v="3"/>
    <x v="4"/>
    <s v="TRK49673411"/>
    <n v="5"/>
    <s v="SAVE10"/>
    <x v="4"/>
    <n v="2682.9"/>
  </r>
  <r>
    <s v="ORD200165"/>
    <x v="154"/>
    <x v="165"/>
    <x v="0"/>
    <n v="2"/>
    <n v="500.29"/>
    <s v="226 Main St"/>
    <x v="1"/>
    <x v="2"/>
    <s v="TRK30155194"/>
    <n v="7"/>
    <s v="WINTER15"/>
    <x v="4"/>
    <n v="1000.58"/>
  </r>
  <r>
    <s v="ORD200166"/>
    <x v="155"/>
    <x v="166"/>
    <x v="3"/>
    <n v="3"/>
    <n v="86.29"/>
    <s v="565 Main St"/>
    <x v="4"/>
    <x v="3"/>
    <s v="TRK23791726"/>
    <n v="6"/>
    <s v="WINTER15"/>
    <x v="0"/>
    <n v="258.87"/>
  </r>
  <r>
    <s v="ORD200167"/>
    <x v="156"/>
    <x v="167"/>
    <x v="3"/>
    <n v="2"/>
    <n v="384.14"/>
    <s v="219 Main St"/>
    <x v="1"/>
    <x v="2"/>
    <s v="TRK44268941"/>
    <n v="2"/>
    <s v="WINTER15"/>
    <x v="2"/>
    <n v="768.28"/>
  </r>
  <r>
    <s v="ORD200168"/>
    <x v="157"/>
    <x v="168"/>
    <x v="4"/>
    <n v="1"/>
    <n v="594.96"/>
    <s v="878 Main St"/>
    <x v="4"/>
    <x v="2"/>
    <s v="TRK78551375"/>
    <n v="6"/>
    <s v="None"/>
    <x v="3"/>
    <n v="594.96"/>
  </r>
  <r>
    <s v="ORD200169"/>
    <x v="158"/>
    <x v="169"/>
    <x v="4"/>
    <n v="1"/>
    <n v="427.82"/>
    <s v="732 Main St"/>
    <x v="1"/>
    <x v="3"/>
    <s v="TRK78923089"/>
    <n v="2"/>
    <s v="WINTER15"/>
    <x v="2"/>
    <n v="427.82"/>
  </r>
  <r>
    <s v="ORD200170"/>
    <x v="159"/>
    <x v="170"/>
    <x v="6"/>
    <n v="4"/>
    <n v="662.94"/>
    <s v="535 Main St"/>
    <x v="4"/>
    <x v="1"/>
    <s v="TRK68632951"/>
    <n v="8"/>
    <s v="SAVE10"/>
    <x v="0"/>
    <n v="2651.76"/>
  </r>
  <r>
    <s v="ORD200171"/>
    <x v="160"/>
    <x v="171"/>
    <x v="2"/>
    <n v="2"/>
    <n v="148.22"/>
    <s v="336 Main St"/>
    <x v="2"/>
    <x v="3"/>
    <s v="TRK67379895"/>
    <n v="7"/>
    <s v="WINTER15"/>
    <x v="0"/>
    <n v="296.44"/>
  </r>
  <r>
    <s v="ORD200172"/>
    <x v="161"/>
    <x v="172"/>
    <x v="4"/>
    <n v="1"/>
    <n v="254.12"/>
    <s v="365 Main St"/>
    <x v="1"/>
    <x v="3"/>
    <s v="TRK43074303"/>
    <n v="1"/>
    <s v="WINTER15"/>
    <x v="2"/>
    <n v="254.12"/>
  </r>
  <r>
    <s v="ORD200173"/>
    <x v="59"/>
    <x v="173"/>
    <x v="1"/>
    <n v="3"/>
    <n v="664.46"/>
    <s v="806 Main St"/>
    <x v="1"/>
    <x v="3"/>
    <s v="TRK56989066"/>
    <n v="4"/>
    <s v="FREESHIP"/>
    <x v="4"/>
    <n v="1993.38"/>
  </r>
  <r>
    <s v="ORD200174"/>
    <x v="162"/>
    <x v="174"/>
    <x v="4"/>
    <n v="4"/>
    <n v="600.80999999999995"/>
    <s v="790 Main St"/>
    <x v="0"/>
    <x v="3"/>
    <s v="TRK59154274"/>
    <n v="9"/>
    <s v="SAVE10"/>
    <x v="2"/>
    <n v="2403.2399999999998"/>
  </r>
  <r>
    <s v="ORD200175"/>
    <x v="163"/>
    <x v="175"/>
    <x v="3"/>
    <n v="5"/>
    <n v="68.34"/>
    <s v="332 Main St"/>
    <x v="0"/>
    <x v="4"/>
    <s v="TRK71410605"/>
    <n v="6"/>
    <s v="WINTER15"/>
    <x v="1"/>
    <n v="341.70000000000005"/>
  </r>
  <r>
    <s v="ORD200176"/>
    <x v="164"/>
    <x v="176"/>
    <x v="2"/>
    <n v="4"/>
    <n v="430.83"/>
    <s v="553 Main St"/>
    <x v="3"/>
    <x v="4"/>
    <s v="TRK88251529"/>
    <n v="8"/>
    <s v="WINTER15"/>
    <x v="1"/>
    <n v="1723.32"/>
  </r>
  <r>
    <s v="ORD200177"/>
    <x v="165"/>
    <x v="177"/>
    <x v="3"/>
    <n v="5"/>
    <n v="431.69"/>
    <s v="354 Main St"/>
    <x v="2"/>
    <x v="4"/>
    <s v="TRK13003066"/>
    <n v="10"/>
    <s v="None"/>
    <x v="3"/>
    <n v="2158.4499999999998"/>
  </r>
  <r>
    <s v="ORD200178"/>
    <x v="166"/>
    <x v="178"/>
    <x v="3"/>
    <n v="4"/>
    <n v="512.05999999999995"/>
    <s v="283 Main St"/>
    <x v="1"/>
    <x v="3"/>
    <s v="TRK49791755"/>
    <n v="5"/>
    <s v="SAVE10"/>
    <x v="4"/>
    <n v="2048.2399999999998"/>
  </r>
  <r>
    <s v="ORD200179"/>
    <x v="167"/>
    <x v="179"/>
    <x v="5"/>
    <n v="3"/>
    <n v="539.91"/>
    <s v="500 Main St"/>
    <x v="2"/>
    <x v="3"/>
    <s v="TRK14332053"/>
    <n v="8"/>
    <s v="None"/>
    <x v="2"/>
    <n v="1619.73"/>
  </r>
  <r>
    <s v="ORD200180"/>
    <x v="168"/>
    <x v="180"/>
    <x v="2"/>
    <n v="5"/>
    <n v="316.07"/>
    <s v="970 Main St"/>
    <x v="4"/>
    <x v="2"/>
    <s v="TRK18713727"/>
    <n v="10"/>
    <s v="None"/>
    <x v="4"/>
    <n v="1580.35"/>
  </r>
  <r>
    <s v="ORD200181"/>
    <x v="169"/>
    <x v="181"/>
    <x v="4"/>
    <n v="5"/>
    <n v="404.39"/>
    <s v="247 Main St"/>
    <x v="1"/>
    <x v="0"/>
    <s v="TRK17205146"/>
    <n v="10"/>
    <s v="None"/>
    <x v="1"/>
    <n v="2021.9499999999998"/>
  </r>
  <r>
    <s v="ORD200182"/>
    <x v="170"/>
    <x v="182"/>
    <x v="6"/>
    <n v="1"/>
    <n v="600.54"/>
    <s v="596 Main St"/>
    <x v="0"/>
    <x v="4"/>
    <s v="TRK96188223"/>
    <n v="4"/>
    <s v="WINTER15"/>
    <x v="4"/>
    <n v="600.54"/>
  </r>
  <r>
    <s v="ORD200183"/>
    <x v="171"/>
    <x v="183"/>
    <x v="0"/>
    <n v="5"/>
    <n v="186.28"/>
    <s v="258 Main St"/>
    <x v="0"/>
    <x v="3"/>
    <s v="TRK16658182"/>
    <n v="8"/>
    <s v="SAVE10"/>
    <x v="2"/>
    <n v="931.4"/>
  </r>
  <r>
    <s v="ORD200184"/>
    <x v="172"/>
    <x v="184"/>
    <x v="2"/>
    <n v="4"/>
    <n v="214.54"/>
    <s v="231 Main St"/>
    <x v="3"/>
    <x v="1"/>
    <s v="TRK39255469"/>
    <n v="7"/>
    <s v="None"/>
    <x v="1"/>
    <n v="858.16"/>
  </r>
  <r>
    <s v="ORD200185"/>
    <x v="61"/>
    <x v="185"/>
    <x v="5"/>
    <n v="1"/>
    <n v="210.7"/>
    <s v="572 Main St"/>
    <x v="1"/>
    <x v="0"/>
    <s v="TRK96935978"/>
    <n v="2"/>
    <s v="WINTER15"/>
    <x v="1"/>
    <n v="210.7"/>
  </r>
  <r>
    <s v="ORD200186"/>
    <x v="173"/>
    <x v="186"/>
    <x v="1"/>
    <n v="2"/>
    <n v="133.55000000000001"/>
    <s v="322 Main St"/>
    <x v="4"/>
    <x v="4"/>
    <s v="TRK66388885"/>
    <n v="7"/>
    <s v="FREESHIP"/>
    <x v="3"/>
    <n v="267.10000000000002"/>
  </r>
  <r>
    <s v="ORD200187"/>
    <x v="174"/>
    <x v="187"/>
    <x v="3"/>
    <n v="1"/>
    <n v="590.87"/>
    <s v="689 Main St"/>
    <x v="3"/>
    <x v="2"/>
    <s v="TRK79129657"/>
    <n v="6"/>
    <s v="FREESHIP"/>
    <x v="1"/>
    <n v="590.87"/>
  </r>
  <r>
    <s v="ORD200188"/>
    <x v="175"/>
    <x v="188"/>
    <x v="3"/>
    <n v="2"/>
    <n v="363.91"/>
    <s v="927 Main St"/>
    <x v="3"/>
    <x v="0"/>
    <s v="TRK19515949"/>
    <n v="2"/>
    <s v="FREESHIP"/>
    <x v="1"/>
    <n v="727.82"/>
  </r>
  <r>
    <s v="ORD200189"/>
    <x v="176"/>
    <x v="189"/>
    <x v="4"/>
    <n v="5"/>
    <n v="429.45"/>
    <s v="597 Main St"/>
    <x v="3"/>
    <x v="1"/>
    <s v="TRK62786764"/>
    <n v="5"/>
    <s v="WINTER15"/>
    <x v="2"/>
    <n v="2147.25"/>
  </r>
  <r>
    <s v="ORD200190"/>
    <x v="169"/>
    <x v="190"/>
    <x v="4"/>
    <n v="3"/>
    <n v="223.7"/>
    <s v="725 Main St"/>
    <x v="4"/>
    <x v="2"/>
    <s v="TRK79638203"/>
    <n v="3"/>
    <s v="SAVE10"/>
    <x v="2"/>
    <n v="671.09999999999991"/>
  </r>
  <r>
    <s v="ORD200191"/>
    <x v="177"/>
    <x v="191"/>
    <x v="5"/>
    <n v="2"/>
    <n v="488.87"/>
    <s v="505 Main St"/>
    <x v="1"/>
    <x v="1"/>
    <s v="TRK58520306"/>
    <n v="4"/>
    <s v="FREESHIP"/>
    <x v="4"/>
    <n v="977.74"/>
  </r>
  <r>
    <s v="ORD200192"/>
    <x v="178"/>
    <x v="192"/>
    <x v="6"/>
    <n v="1"/>
    <n v="645.46"/>
    <s v="151 Main St"/>
    <x v="3"/>
    <x v="1"/>
    <s v="TRK19749672"/>
    <n v="5"/>
    <s v="SAVE10"/>
    <x v="4"/>
    <n v="645.46"/>
  </r>
  <r>
    <s v="ORD200193"/>
    <x v="179"/>
    <x v="193"/>
    <x v="4"/>
    <n v="1"/>
    <n v="46.66"/>
    <s v="429 Main St"/>
    <x v="4"/>
    <x v="1"/>
    <s v="TRK81320339"/>
    <n v="6"/>
    <s v="None"/>
    <x v="4"/>
    <n v="46.66"/>
  </r>
  <r>
    <s v="ORD200194"/>
    <x v="180"/>
    <x v="194"/>
    <x v="0"/>
    <n v="1"/>
    <n v="249.57"/>
    <s v="899 Main St"/>
    <x v="4"/>
    <x v="0"/>
    <s v="TRK90144892"/>
    <n v="3"/>
    <s v="FREESHIP"/>
    <x v="4"/>
    <n v="249.57"/>
  </r>
  <r>
    <s v="ORD200195"/>
    <x v="181"/>
    <x v="195"/>
    <x v="3"/>
    <n v="3"/>
    <n v="619.21"/>
    <s v="801 Main St"/>
    <x v="0"/>
    <x v="1"/>
    <s v="TRK65385674"/>
    <n v="6"/>
    <s v="None"/>
    <x v="2"/>
    <n v="1857.63"/>
  </r>
  <r>
    <s v="ORD200196"/>
    <x v="182"/>
    <x v="196"/>
    <x v="6"/>
    <n v="4"/>
    <n v="217.13"/>
    <s v="719 Main St"/>
    <x v="4"/>
    <x v="3"/>
    <s v="TRK64165503"/>
    <n v="8"/>
    <s v="WINTER15"/>
    <x v="2"/>
    <n v="868.52"/>
  </r>
  <r>
    <s v="ORD200197"/>
    <x v="183"/>
    <x v="197"/>
    <x v="5"/>
    <n v="5"/>
    <n v="221.51"/>
    <s v="723 Main St"/>
    <x v="4"/>
    <x v="2"/>
    <s v="TRK95222269"/>
    <n v="5"/>
    <s v="WINTER15"/>
    <x v="1"/>
    <n v="1107.55"/>
  </r>
  <r>
    <s v="ORD200198"/>
    <x v="184"/>
    <x v="198"/>
    <x v="5"/>
    <n v="4"/>
    <n v="340.3"/>
    <s v="926 Main St"/>
    <x v="4"/>
    <x v="1"/>
    <s v="TRK94405162"/>
    <n v="8"/>
    <s v="SAVE10"/>
    <x v="1"/>
    <n v="1361.2"/>
  </r>
  <r>
    <s v="ORD200199"/>
    <x v="185"/>
    <x v="199"/>
    <x v="1"/>
    <n v="1"/>
    <n v="625"/>
    <s v="358 Main St"/>
    <x v="1"/>
    <x v="2"/>
    <s v="TRK21114341"/>
    <n v="5"/>
    <s v="WINTER15"/>
    <x v="4"/>
    <n v="625"/>
  </r>
  <r>
    <s v="ORD200200"/>
    <x v="186"/>
    <x v="200"/>
    <x v="2"/>
    <n v="5"/>
    <n v="433.26"/>
    <s v="895 Main St"/>
    <x v="2"/>
    <x v="3"/>
    <s v="TRK37531040"/>
    <n v="9"/>
    <s v="SAVE10"/>
    <x v="4"/>
    <n v="2166.3000000000002"/>
  </r>
  <r>
    <s v="ORD200201"/>
    <x v="187"/>
    <x v="201"/>
    <x v="0"/>
    <n v="2"/>
    <n v="674.9"/>
    <s v="146 Main St"/>
    <x v="1"/>
    <x v="0"/>
    <s v="TRK75607531"/>
    <n v="4"/>
    <s v="SAVE10"/>
    <x v="3"/>
    <n v="1349.8"/>
  </r>
  <r>
    <s v="ORD200202"/>
    <x v="188"/>
    <x v="202"/>
    <x v="0"/>
    <n v="3"/>
    <n v="253.98"/>
    <s v="636 Main St"/>
    <x v="2"/>
    <x v="1"/>
    <s v="TRK52522904"/>
    <n v="3"/>
    <s v="FREESHIP"/>
    <x v="2"/>
    <n v="761.93999999999994"/>
  </r>
  <r>
    <s v="ORD200203"/>
    <x v="94"/>
    <x v="203"/>
    <x v="4"/>
    <n v="3"/>
    <n v="356.84"/>
    <s v="172 Main St"/>
    <x v="1"/>
    <x v="0"/>
    <s v="TRK89849342"/>
    <n v="5"/>
    <s v="SAVE10"/>
    <x v="0"/>
    <n v="1070.52"/>
  </r>
  <r>
    <s v="ORD200204"/>
    <x v="189"/>
    <x v="204"/>
    <x v="5"/>
    <n v="4"/>
    <n v="413.71"/>
    <s v="478 Main St"/>
    <x v="3"/>
    <x v="1"/>
    <s v="TRK21638425"/>
    <n v="9"/>
    <s v="FREESHIP"/>
    <x v="3"/>
    <n v="1654.84"/>
  </r>
  <r>
    <s v="ORD200205"/>
    <x v="190"/>
    <x v="205"/>
    <x v="6"/>
    <n v="3"/>
    <n v="147.38999999999999"/>
    <s v="609 Main St"/>
    <x v="0"/>
    <x v="2"/>
    <s v="TRK58357269"/>
    <n v="3"/>
    <s v="None"/>
    <x v="2"/>
    <n v="442.16999999999996"/>
  </r>
  <r>
    <s v="ORD200206"/>
    <x v="162"/>
    <x v="206"/>
    <x v="5"/>
    <n v="4"/>
    <n v="229.1"/>
    <s v="729 Main St"/>
    <x v="3"/>
    <x v="2"/>
    <s v="TRK77172975"/>
    <n v="8"/>
    <s v="WINTER15"/>
    <x v="2"/>
    <n v="916.4"/>
  </r>
  <r>
    <s v="ORD200207"/>
    <x v="191"/>
    <x v="207"/>
    <x v="1"/>
    <n v="1"/>
    <n v="121.96"/>
    <s v="999 Main St"/>
    <x v="0"/>
    <x v="3"/>
    <s v="TRK44416659"/>
    <n v="3"/>
    <s v="None"/>
    <x v="4"/>
    <n v="121.96"/>
  </r>
  <r>
    <s v="ORD200208"/>
    <x v="192"/>
    <x v="208"/>
    <x v="6"/>
    <n v="2"/>
    <n v="408.32"/>
    <s v="597 Main St"/>
    <x v="1"/>
    <x v="0"/>
    <s v="TRK29003608"/>
    <n v="3"/>
    <s v="FREESHIP"/>
    <x v="3"/>
    <n v="816.64"/>
  </r>
  <r>
    <s v="ORD200209"/>
    <x v="193"/>
    <x v="209"/>
    <x v="2"/>
    <n v="5"/>
    <n v="187.97"/>
    <s v="706 Main St"/>
    <x v="4"/>
    <x v="2"/>
    <s v="TRK30615168"/>
    <n v="9"/>
    <s v="SAVE10"/>
    <x v="4"/>
    <n v="939.85"/>
  </r>
  <r>
    <s v="ORD200210"/>
    <x v="194"/>
    <x v="210"/>
    <x v="3"/>
    <n v="3"/>
    <n v="358.48"/>
    <s v="513 Main St"/>
    <x v="3"/>
    <x v="3"/>
    <s v="TRK10658539"/>
    <n v="7"/>
    <s v="FREESHIP"/>
    <x v="3"/>
    <n v="1075.44"/>
  </r>
  <r>
    <s v="ORD200211"/>
    <x v="195"/>
    <x v="211"/>
    <x v="4"/>
    <n v="3"/>
    <n v="193.58"/>
    <s v="185 Main St"/>
    <x v="3"/>
    <x v="4"/>
    <s v="TRK83853742"/>
    <n v="7"/>
    <s v="FREESHIP"/>
    <x v="2"/>
    <n v="580.74"/>
  </r>
  <r>
    <s v="ORD200212"/>
    <x v="196"/>
    <x v="212"/>
    <x v="0"/>
    <n v="1"/>
    <n v="265.38"/>
    <s v="367 Main St"/>
    <x v="2"/>
    <x v="1"/>
    <s v="TRK34751835"/>
    <n v="6"/>
    <s v="WINTER15"/>
    <x v="2"/>
    <n v="265.38"/>
  </r>
  <r>
    <s v="ORD200213"/>
    <x v="197"/>
    <x v="213"/>
    <x v="5"/>
    <n v="1"/>
    <n v="634.4"/>
    <s v="317 Main St"/>
    <x v="4"/>
    <x v="1"/>
    <s v="TRK54757882"/>
    <n v="6"/>
    <s v="SAVE10"/>
    <x v="2"/>
    <n v="634.4"/>
  </r>
  <r>
    <s v="ORD200214"/>
    <x v="58"/>
    <x v="214"/>
    <x v="6"/>
    <n v="4"/>
    <n v="305.72000000000003"/>
    <s v="673 Main St"/>
    <x v="1"/>
    <x v="3"/>
    <s v="TRK89423603"/>
    <n v="5"/>
    <s v="None"/>
    <x v="3"/>
    <n v="1222.8800000000001"/>
  </r>
  <r>
    <s v="ORD200215"/>
    <x v="121"/>
    <x v="215"/>
    <x v="4"/>
    <n v="1"/>
    <n v="303.60000000000002"/>
    <s v="432 Main St"/>
    <x v="4"/>
    <x v="0"/>
    <s v="TRK24585307"/>
    <n v="5"/>
    <s v="FREESHIP"/>
    <x v="3"/>
    <n v="303.60000000000002"/>
  </r>
  <r>
    <s v="ORD200216"/>
    <x v="198"/>
    <x v="216"/>
    <x v="0"/>
    <n v="4"/>
    <n v="496"/>
    <s v="811 Main St"/>
    <x v="1"/>
    <x v="1"/>
    <s v="TRK84625405"/>
    <n v="8"/>
    <s v="WINTER15"/>
    <x v="4"/>
    <n v="1984"/>
  </r>
  <r>
    <s v="ORD200217"/>
    <x v="199"/>
    <x v="217"/>
    <x v="6"/>
    <n v="4"/>
    <n v="321.51"/>
    <s v="908 Main St"/>
    <x v="4"/>
    <x v="2"/>
    <s v="TRK65596914"/>
    <n v="9"/>
    <s v="None"/>
    <x v="4"/>
    <n v="1286.04"/>
  </r>
  <r>
    <s v="ORD200218"/>
    <x v="200"/>
    <x v="218"/>
    <x v="2"/>
    <n v="3"/>
    <n v="112.46"/>
    <s v="882 Main St"/>
    <x v="3"/>
    <x v="0"/>
    <s v="TRK10993930"/>
    <n v="6"/>
    <s v="SAVE10"/>
    <x v="0"/>
    <n v="337.38"/>
  </r>
  <r>
    <s v="ORD200219"/>
    <x v="201"/>
    <x v="219"/>
    <x v="5"/>
    <n v="5"/>
    <n v="61.97"/>
    <s v="457 Main St"/>
    <x v="4"/>
    <x v="3"/>
    <s v="TRK99387220"/>
    <n v="6"/>
    <s v="SAVE10"/>
    <x v="2"/>
    <n v="309.85000000000002"/>
  </r>
  <r>
    <s v="ORD200220"/>
    <x v="202"/>
    <x v="220"/>
    <x v="5"/>
    <n v="2"/>
    <n v="373.17"/>
    <s v="497 Main St"/>
    <x v="2"/>
    <x v="4"/>
    <s v="TRK95188748"/>
    <n v="6"/>
    <s v="SAVE10"/>
    <x v="1"/>
    <n v="746.34"/>
  </r>
  <r>
    <s v="ORD200221"/>
    <x v="203"/>
    <x v="221"/>
    <x v="2"/>
    <n v="5"/>
    <n v="639.37"/>
    <s v="552 Main St"/>
    <x v="0"/>
    <x v="4"/>
    <s v="TRK50003989"/>
    <n v="6"/>
    <s v="SAVE10"/>
    <x v="4"/>
    <n v="3196.85"/>
  </r>
  <r>
    <s v="ORD200222"/>
    <x v="204"/>
    <x v="222"/>
    <x v="3"/>
    <n v="4"/>
    <n v="693.36"/>
    <s v="931 Main St"/>
    <x v="1"/>
    <x v="0"/>
    <s v="TRK17293348"/>
    <n v="8"/>
    <s v="None"/>
    <x v="0"/>
    <n v="2773.44"/>
  </r>
  <r>
    <s v="ORD200223"/>
    <x v="57"/>
    <x v="223"/>
    <x v="1"/>
    <n v="4"/>
    <n v="692.91"/>
    <s v="673 Main St"/>
    <x v="2"/>
    <x v="4"/>
    <s v="TRK55009149"/>
    <n v="9"/>
    <s v="SAVE10"/>
    <x v="0"/>
    <n v="2771.64"/>
  </r>
  <r>
    <s v="ORD200224"/>
    <x v="205"/>
    <x v="224"/>
    <x v="4"/>
    <n v="4"/>
    <n v="91.46"/>
    <s v="507 Main St"/>
    <x v="4"/>
    <x v="1"/>
    <s v="TRK17554673"/>
    <n v="9"/>
    <s v="SAVE10"/>
    <x v="1"/>
    <n v="365.84"/>
  </r>
  <r>
    <s v="ORD200225"/>
    <x v="206"/>
    <x v="225"/>
    <x v="1"/>
    <n v="3"/>
    <n v="273.95999999999998"/>
    <s v="692 Main St"/>
    <x v="0"/>
    <x v="2"/>
    <s v="TRK50246700"/>
    <n v="8"/>
    <s v="SAVE10"/>
    <x v="4"/>
    <n v="821.87999999999988"/>
  </r>
  <r>
    <s v="ORD200226"/>
    <x v="207"/>
    <x v="226"/>
    <x v="6"/>
    <n v="3"/>
    <n v="588.04999999999995"/>
    <s v="242 Main St"/>
    <x v="3"/>
    <x v="3"/>
    <s v="TRK93063929"/>
    <n v="8"/>
    <s v="None"/>
    <x v="0"/>
    <n v="1764.1499999999999"/>
  </r>
  <r>
    <s v="ORD200227"/>
    <x v="208"/>
    <x v="227"/>
    <x v="0"/>
    <n v="2"/>
    <n v="365.17"/>
    <s v="353 Main St"/>
    <x v="1"/>
    <x v="1"/>
    <s v="TRK89023251"/>
    <n v="4"/>
    <s v="FREESHIP"/>
    <x v="3"/>
    <n v="730.34"/>
  </r>
  <r>
    <s v="ORD200228"/>
    <x v="209"/>
    <x v="228"/>
    <x v="3"/>
    <n v="4"/>
    <n v="385.92"/>
    <s v="579 Main St"/>
    <x v="2"/>
    <x v="1"/>
    <s v="TRK92055007"/>
    <n v="8"/>
    <s v="None"/>
    <x v="0"/>
    <n v="1543.68"/>
  </r>
  <r>
    <s v="ORD200229"/>
    <x v="210"/>
    <x v="229"/>
    <x v="2"/>
    <n v="1"/>
    <n v="562.61"/>
    <s v="762 Main St"/>
    <x v="2"/>
    <x v="3"/>
    <s v="TRK70997648"/>
    <n v="3"/>
    <s v="WINTER15"/>
    <x v="3"/>
    <n v="562.61"/>
  </r>
  <r>
    <s v="ORD200230"/>
    <x v="211"/>
    <x v="230"/>
    <x v="6"/>
    <n v="4"/>
    <n v="61.91"/>
    <s v="948 Main St"/>
    <x v="3"/>
    <x v="3"/>
    <s v="TRK24497305"/>
    <n v="6"/>
    <s v="WINTER15"/>
    <x v="2"/>
    <n v="247.64"/>
  </r>
  <r>
    <s v="ORD200231"/>
    <x v="212"/>
    <x v="231"/>
    <x v="1"/>
    <n v="4"/>
    <n v="41.9"/>
    <s v="327 Main St"/>
    <x v="3"/>
    <x v="4"/>
    <s v="TRK46898848"/>
    <n v="9"/>
    <s v="FREESHIP"/>
    <x v="0"/>
    <n v="167.6"/>
  </r>
  <r>
    <s v="ORD200232"/>
    <x v="213"/>
    <x v="232"/>
    <x v="4"/>
    <n v="4"/>
    <n v="444.44"/>
    <s v="610 Main St"/>
    <x v="0"/>
    <x v="1"/>
    <s v="TRK75568437"/>
    <n v="8"/>
    <s v="WINTER15"/>
    <x v="4"/>
    <n v="1777.76"/>
  </r>
  <r>
    <s v="ORD200233"/>
    <x v="214"/>
    <x v="233"/>
    <x v="1"/>
    <n v="3"/>
    <n v="311.33"/>
    <s v="146 Main St"/>
    <x v="4"/>
    <x v="1"/>
    <s v="TRK73699939"/>
    <n v="3"/>
    <s v="WINTER15"/>
    <x v="0"/>
    <n v="933.99"/>
  </r>
  <r>
    <s v="ORD200234"/>
    <x v="130"/>
    <x v="234"/>
    <x v="4"/>
    <n v="4"/>
    <n v="236.41"/>
    <s v="337 Main St"/>
    <x v="0"/>
    <x v="4"/>
    <s v="TRK26957950"/>
    <n v="7"/>
    <s v="SAVE10"/>
    <x v="4"/>
    <n v="945.64"/>
  </r>
  <r>
    <s v="ORD200235"/>
    <x v="215"/>
    <x v="235"/>
    <x v="6"/>
    <n v="1"/>
    <n v="65.45"/>
    <s v="815 Main St"/>
    <x v="4"/>
    <x v="4"/>
    <s v="TRK30009218"/>
    <n v="2"/>
    <s v="WINTER15"/>
    <x v="4"/>
    <n v="65.45"/>
  </r>
  <r>
    <s v="ORD200236"/>
    <x v="107"/>
    <x v="236"/>
    <x v="0"/>
    <n v="1"/>
    <n v="318.81"/>
    <s v="562 Main St"/>
    <x v="0"/>
    <x v="4"/>
    <s v="TRK39663243"/>
    <n v="3"/>
    <s v="WINTER15"/>
    <x v="2"/>
    <n v="318.81"/>
  </r>
  <r>
    <s v="ORD200237"/>
    <x v="216"/>
    <x v="237"/>
    <x v="0"/>
    <n v="3"/>
    <n v="583.72"/>
    <s v="783 Main St"/>
    <x v="2"/>
    <x v="0"/>
    <s v="TRK74097570"/>
    <n v="5"/>
    <s v="FREESHIP"/>
    <x v="3"/>
    <n v="1751.16"/>
  </r>
  <r>
    <s v="ORD200238"/>
    <x v="217"/>
    <x v="238"/>
    <x v="6"/>
    <n v="4"/>
    <n v="384.32"/>
    <s v="770 Main St"/>
    <x v="2"/>
    <x v="4"/>
    <s v="TRK76307307"/>
    <n v="6"/>
    <s v="WINTER15"/>
    <x v="4"/>
    <n v="1537.28"/>
  </r>
  <r>
    <s v="ORD200239"/>
    <x v="218"/>
    <x v="239"/>
    <x v="2"/>
    <n v="3"/>
    <n v="538.74"/>
    <s v="456 Main St"/>
    <x v="1"/>
    <x v="0"/>
    <s v="TRK71127943"/>
    <n v="6"/>
    <s v="FREESHIP"/>
    <x v="2"/>
    <n v="1616.22"/>
  </r>
  <r>
    <s v="ORD200240"/>
    <x v="219"/>
    <x v="240"/>
    <x v="2"/>
    <n v="1"/>
    <n v="17.239999999999998"/>
    <s v="255 Main St"/>
    <x v="1"/>
    <x v="4"/>
    <s v="TRK93444157"/>
    <n v="2"/>
    <s v="FREESHIP"/>
    <x v="0"/>
    <n v="17.239999999999998"/>
  </r>
  <r>
    <s v="ORD200241"/>
    <x v="220"/>
    <x v="241"/>
    <x v="3"/>
    <n v="5"/>
    <n v="615.66999999999996"/>
    <s v="407 Main St"/>
    <x v="1"/>
    <x v="4"/>
    <s v="TRK44164590"/>
    <n v="6"/>
    <s v="SAVE10"/>
    <x v="2"/>
    <n v="3078.35"/>
  </r>
  <r>
    <s v="ORD200242"/>
    <x v="221"/>
    <x v="242"/>
    <x v="4"/>
    <n v="2"/>
    <n v="219.1"/>
    <s v="134 Main St"/>
    <x v="1"/>
    <x v="4"/>
    <s v="TRK97794327"/>
    <n v="4"/>
    <s v="SAVE10"/>
    <x v="1"/>
    <n v="438.2"/>
  </r>
  <r>
    <s v="ORD200243"/>
    <x v="222"/>
    <x v="243"/>
    <x v="3"/>
    <n v="2"/>
    <n v="144.66"/>
    <s v="506 Main St"/>
    <x v="1"/>
    <x v="1"/>
    <s v="TRK30601940"/>
    <n v="7"/>
    <s v="FREESHIP"/>
    <x v="4"/>
    <n v="289.32"/>
  </r>
  <r>
    <s v="ORD200244"/>
    <x v="223"/>
    <x v="244"/>
    <x v="6"/>
    <n v="2"/>
    <n v="317.77"/>
    <s v="838 Main St"/>
    <x v="0"/>
    <x v="1"/>
    <s v="TRK51518631"/>
    <n v="4"/>
    <s v="WINTER15"/>
    <x v="3"/>
    <n v="635.54"/>
  </r>
  <r>
    <s v="ORD200245"/>
    <x v="224"/>
    <x v="245"/>
    <x v="5"/>
    <n v="1"/>
    <n v="223.3"/>
    <s v="306 Main St"/>
    <x v="1"/>
    <x v="2"/>
    <s v="TRK25390491"/>
    <n v="1"/>
    <s v="None"/>
    <x v="3"/>
    <n v="223.3"/>
  </r>
  <r>
    <s v="ORD200246"/>
    <x v="225"/>
    <x v="246"/>
    <x v="6"/>
    <n v="2"/>
    <n v="342.11"/>
    <s v="164 Main St"/>
    <x v="3"/>
    <x v="0"/>
    <s v="TRK15439493"/>
    <n v="2"/>
    <s v="WINTER15"/>
    <x v="0"/>
    <n v="684.22"/>
  </r>
  <r>
    <s v="ORD200247"/>
    <x v="145"/>
    <x v="247"/>
    <x v="4"/>
    <n v="2"/>
    <n v="220.9"/>
    <s v="785 Main St"/>
    <x v="3"/>
    <x v="0"/>
    <s v="TRK84984764"/>
    <n v="4"/>
    <s v="None"/>
    <x v="2"/>
    <n v="441.8"/>
  </r>
  <r>
    <s v="ORD200248"/>
    <x v="226"/>
    <x v="248"/>
    <x v="5"/>
    <n v="1"/>
    <n v="670.54"/>
    <s v="471 Main St"/>
    <x v="4"/>
    <x v="0"/>
    <s v="TRK62283713"/>
    <n v="6"/>
    <s v="FREESHIP"/>
    <x v="1"/>
    <n v="670.54"/>
  </r>
  <r>
    <s v="ORD200249"/>
    <x v="227"/>
    <x v="249"/>
    <x v="4"/>
    <n v="1"/>
    <n v="546.19000000000005"/>
    <s v="245 Main St"/>
    <x v="4"/>
    <x v="4"/>
    <s v="TRK35464433"/>
    <n v="5"/>
    <s v="FREESHIP"/>
    <x v="1"/>
    <n v="546.19000000000005"/>
  </r>
  <r>
    <s v="ORD200250"/>
    <x v="228"/>
    <x v="250"/>
    <x v="6"/>
    <n v="3"/>
    <n v="42.95"/>
    <s v="318 Main St"/>
    <x v="3"/>
    <x v="2"/>
    <s v="TRK67954150"/>
    <n v="8"/>
    <s v="SAVE10"/>
    <x v="2"/>
    <n v="128.85000000000002"/>
  </r>
  <r>
    <s v="ORD200251"/>
    <x v="229"/>
    <x v="251"/>
    <x v="0"/>
    <n v="4"/>
    <n v="14.69"/>
    <s v="814 Main St"/>
    <x v="4"/>
    <x v="1"/>
    <s v="TRK32995144"/>
    <n v="9"/>
    <s v="None"/>
    <x v="2"/>
    <n v="58.76"/>
  </r>
  <r>
    <s v="ORD200252"/>
    <x v="28"/>
    <x v="252"/>
    <x v="1"/>
    <n v="4"/>
    <n v="668.36"/>
    <s v="821 Main St"/>
    <x v="3"/>
    <x v="1"/>
    <s v="TRK51297879"/>
    <n v="5"/>
    <s v="FREESHIP"/>
    <x v="3"/>
    <n v="2673.44"/>
  </r>
  <r>
    <s v="ORD200253"/>
    <x v="230"/>
    <x v="253"/>
    <x v="3"/>
    <n v="4"/>
    <n v="413.74"/>
    <s v="743 Main St"/>
    <x v="3"/>
    <x v="2"/>
    <s v="TRK79471534"/>
    <n v="7"/>
    <s v="FREESHIP"/>
    <x v="0"/>
    <n v="1654.96"/>
  </r>
  <r>
    <s v="ORD200254"/>
    <x v="231"/>
    <x v="254"/>
    <x v="0"/>
    <n v="3"/>
    <n v="263.19"/>
    <s v="770 Main St"/>
    <x v="1"/>
    <x v="3"/>
    <s v="TRK34809583"/>
    <n v="5"/>
    <s v="None"/>
    <x v="0"/>
    <n v="789.56999999999994"/>
  </r>
  <r>
    <s v="ORD200255"/>
    <x v="232"/>
    <x v="255"/>
    <x v="0"/>
    <n v="1"/>
    <n v="263.95999999999998"/>
    <s v="806 Main St"/>
    <x v="3"/>
    <x v="2"/>
    <s v="TRK56235117"/>
    <n v="2"/>
    <s v="SAVE10"/>
    <x v="4"/>
    <n v="263.95999999999998"/>
  </r>
  <r>
    <s v="ORD200256"/>
    <x v="233"/>
    <x v="256"/>
    <x v="3"/>
    <n v="5"/>
    <n v="75.81"/>
    <s v="463 Main St"/>
    <x v="3"/>
    <x v="2"/>
    <s v="TRK22663277"/>
    <n v="10"/>
    <s v="WINTER15"/>
    <x v="0"/>
    <n v="379.05"/>
  </r>
  <r>
    <s v="ORD200257"/>
    <x v="234"/>
    <x v="257"/>
    <x v="1"/>
    <n v="1"/>
    <n v="406.22"/>
    <s v="712 Main St"/>
    <x v="2"/>
    <x v="1"/>
    <s v="TRK41059233"/>
    <n v="5"/>
    <s v="SAVE10"/>
    <x v="1"/>
    <n v="406.22"/>
  </r>
  <r>
    <s v="ORD200258"/>
    <x v="235"/>
    <x v="258"/>
    <x v="2"/>
    <n v="2"/>
    <n v="103.41"/>
    <s v="294 Main St"/>
    <x v="1"/>
    <x v="0"/>
    <s v="TRK94082469"/>
    <n v="2"/>
    <s v="FREESHIP"/>
    <x v="1"/>
    <n v="206.82"/>
  </r>
  <r>
    <s v="ORD200259"/>
    <x v="236"/>
    <x v="259"/>
    <x v="3"/>
    <n v="4"/>
    <n v="435.12"/>
    <s v="636 Main St"/>
    <x v="2"/>
    <x v="3"/>
    <s v="TRK54991561"/>
    <n v="9"/>
    <s v="SAVE10"/>
    <x v="0"/>
    <n v="1740.48"/>
  </r>
  <r>
    <s v="ORD200260"/>
    <x v="209"/>
    <x v="260"/>
    <x v="0"/>
    <n v="2"/>
    <n v="407.79"/>
    <s v="153 Main St"/>
    <x v="0"/>
    <x v="0"/>
    <s v="TRK22000463"/>
    <n v="3"/>
    <s v="None"/>
    <x v="4"/>
    <n v="815.58"/>
  </r>
  <r>
    <s v="ORD200261"/>
    <x v="237"/>
    <x v="261"/>
    <x v="1"/>
    <n v="5"/>
    <n v="173.65"/>
    <s v="460 Main St"/>
    <x v="3"/>
    <x v="3"/>
    <s v="TRK25491356"/>
    <n v="9"/>
    <s v="SAVE10"/>
    <x v="2"/>
    <n v="868.25"/>
  </r>
  <r>
    <s v="ORD200262"/>
    <x v="238"/>
    <x v="262"/>
    <x v="1"/>
    <n v="4"/>
    <n v="249.07"/>
    <s v="642 Main St"/>
    <x v="2"/>
    <x v="2"/>
    <s v="TRK65869386"/>
    <n v="5"/>
    <s v="WINTER15"/>
    <x v="1"/>
    <n v="996.28"/>
  </r>
  <r>
    <s v="ORD200263"/>
    <x v="239"/>
    <x v="263"/>
    <x v="1"/>
    <n v="4"/>
    <n v="434.85"/>
    <s v="250 Main St"/>
    <x v="2"/>
    <x v="4"/>
    <s v="TRK41397604"/>
    <n v="4"/>
    <s v="WINTER15"/>
    <x v="4"/>
    <n v="1739.4"/>
  </r>
  <r>
    <s v="ORD200264"/>
    <x v="240"/>
    <x v="264"/>
    <x v="2"/>
    <n v="1"/>
    <n v="436.77"/>
    <s v="977 Main St"/>
    <x v="4"/>
    <x v="2"/>
    <s v="TRK19599578"/>
    <n v="5"/>
    <s v="FREESHIP"/>
    <x v="4"/>
    <n v="436.77"/>
  </r>
  <r>
    <s v="ORD200265"/>
    <x v="241"/>
    <x v="265"/>
    <x v="4"/>
    <n v="1"/>
    <n v="572.13"/>
    <s v="150 Main St"/>
    <x v="0"/>
    <x v="1"/>
    <s v="TRK22298450"/>
    <n v="4"/>
    <s v="SAVE10"/>
    <x v="4"/>
    <n v="572.13"/>
  </r>
  <r>
    <s v="ORD200266"/>
    <x v="180"/>
    <x v="266"/>
    <x v="3"/>
    <n v="4"/>
    <n v="583.07000000000005"/>
    <s v="589 Main St"/>
    <x v="2"/>
    <x v="1"/>
    <s v="TRK48484633"/>
    <n v="6"/>
    <s v="FREESHIP"/>
    <x v="1"/>
    <n v="2332.2800000000002"/>
  </r>
  <r>
    <s v="ORD200267"/>
    <x v="242"/>
    <x v="267"/>
    <x v="3"/>
    <n v="5"/>
    <n v="468.51"/>
    <s v="803 Main St"/>
    <x v="0"/>
    <x v="3"/>
    <s v="TRK62361867"/>
    <n v="9"/>
    <s v="None"/>
    <x v="3"/>
    <n v="2342.5500000000002"/>
  </r>
  <r>
    <s v="ORD200268"/>
    <x v="178"/>
    <x v="268"/>
    <x v="1"/>
    <n v="2"/>
    <n v="423.88"/>
    <s v="655 Main St"/>
    <x v="0"/>
    <x v="3"/>
    <s v="TRK48639226"/>
    <n v="7"/>
    <s v="SAVE10"/>
    <x v="1"/>
    <n v="847.76"/>
  </r>
  <r>
    <s v="ORD200269"/>
    <x v="97"/>
    <x v="269"/>
    <x v="2"/>
    <n v="4"/>
    <n v="663.67"/>
    <s v="129 Main St"/>
    <x v="2"/>
    <x v="4"/>
    <s v="TRK29355120"/>
    <n v="7"/>
    <s v="FREESHIP"/>
    <x v="4"/>
    <n v="2654.68"/>
  </r>
  <r>
    <s v="ORD200270"/>
    <x v="243"/>
    <x v="270"/>
    <x v="4"/>
    <n v="4"/>
    <n v="309.91000000000003"/>
    <s v="127 Main St"/>
    <x v="0"/>
    <x v="0"/>
    <s v="TRK81087373"/>
    <n v="5"/>
    <s v="WINTER15"/>
    <x v="4"/>
    <n v="1239.6400000000001"/>
  </r>
  <r>
    <s v="ORD200271"/>
    <x v="125"/>
    <x v="271"/>
    <x v="0"/>
    <n v="1"/>
    <n v="542.07000000000005"/>
    <s v="791 Main St"/>
    <x v="4"/>
    <x v="0"/>
    <s v="TRK16792991"/>
    <n v="6"/>
    <s v="WINTER15"/>
    <x v="1"/>
    <n v="542.07000000000005"/>
  </r>
  <r>
    <s v="ORD200272"/>
    <x v="244"/>
    <x v="272"/>
    <x v="3"/>
    <n v="2"/>
    <n v="399.32"/>
    <s v="119 Main St"/>
    <x v="1"/>
    <x v="4"/>
    <s v="TRK12990043"/>
    <n v="6"/>
    <s v="WINTER15"/>
    <x v="0"/>
    <n v="798.64"/>
  </r>
  <r>
    <s v="ORD200273"/>
    <x v="245"/>
    <x v="273"/>
    <x v="2"/>
    <n v="2"/>
    <n v="238.25"/>
    <s v="974 Main St"/>
    <x v="1"/>
    <x v="1"/>
    <s v="TRK91195261"/>
    <n v="7"/>
    <s v="FREESHIP"/>
    <x v="2"/>
    <n v="476.5"/>
  </r>
  <r>
    <s v="ORD200274"/>
    <x v="246"/>
    <x v="274"/>
    <x v="1"/>
    <n v="2"/>
    <n v="182.4"/>
    <s v="884 Main St"/>
    <x v="3"/>
    <x v="1"/>
    <s v="TRK65300814"/>
    <n v="5"/>
    <s v="SAVE10"/>
    <x v="1"/>
    <n v="364.8"/>
  </r>
  <r>
    <s v="ORD200275"/>
    <x v="247"/>
    <x v="275"/>
    <x v="3"/>
    <n v="2"/>
    <n v="65.069999999999993"/>
    <s v="360 Main St"/>
    <x v="2"/>
    <x v="1"/>
    <s v="TRK99880231"/>
    <n v="4"/>
    <s v="SAVE10"/>
    <x v="4"/>
    <n v="130.13999999999999"/>
  </r>
  <r>
    <s v="ORD200276"/>
    <x v="248"/>
    <x v="276"/>
    <x v="4"/>
    <n v="2"/>
    <n v="600.57000000000005"/>
    <s v="654 Main St"/>
    <x v="0"/>
    <x v="2"/>
    <s v="TRK56927089"/>
    <n v="3"/>
    <s v="WINTER15"/>
    <x v="0"/>
    <n v="1201.1400000000001"/>
  </r>
  <r>
    <s v="ORD200277"/>
    <x v="82"/>
    <x v="277"/>
    <x v="3"/>
    <n v="5"/>
    <n v="90.92"/>
    <s v="910 Main St"/>
    <x v="2"/>
    <x v="3"/>
    <s v="TRK44929965"/>
    <n v="9"/>
    <s v="SAVE10"/>
    <x v="3"/>
    <n v="454.6"/>
  </r>
  <r>
    <s v="ORD200278"/>
    <x v="249"/>
    <x v="278"/>
    <x v="5"/>
    <n v="5"/>
    <n v="362.46"/>
    <s v="299 Main St"/>
    <x v="4"/>
    <x v="3"/>
    <s v="TRK46598430"/>
    <n v="6"/>
    <s v="FREESHIP"/>
    <x v="0"/>
    <n v="1812.3"/>
  </r>
  <r>
    <s v="ORD200279"/>
    <x v="250"/>
    <x v="279"/>
    <x v="3"/>
    <n v="3"/>
    <n v="55.01"/>
    <s v="263 Main St"/>
    <x v="1"/>
    <x v="4"/>
    <s v="TRK12425655"/>
    <n v="7"/>
    <s v="WINTER15"/>
    <x v="2"/>
    <n v="165.03"/>
  </r>
  <r>
    <s v="ORD200280"/>
    <x v="14"/>
    <x v="280"/>
    <x v="2"/>
    <n v="3"/>
    <n v="404.62"/>
    <s v="740 Main St"/>
    <x v="3"/>
    <x v="3"/>
    <s v="TRK75741001"/>
    <n v="6"/>
    <s v="FREESHIP"/>
    <x v="0"/>
    <n v="1213.8600000000001"/>
  </r>
  <r>
    <s v="ORD200281"/>
    <x v="152"/>
    <x v="281"/>
    <x v="6"/>
    <n v="4"/>
    <n v="654.79"/>
    <s v="195 Main St"/>
    <x v="4"/>
    <x v="4"/>
    <s v="TRK60093390"/>
    <n v="9"/>
    <s v="None"/>
    <x v="1"/>
    <n v="2619.16"/>
  </r>
  <r>
    <s v="ORD200282"/>
    <x v="251"/>
    <x v="282"/>
    <x v="4"/>
    <n v="4"/>
    <n v="637.79"/>
    <s v="375 Main St"/>
    <x v="3"/>
    <x v="1"/>
    <s v="TRK71810536"/>
    <n v="9"/>
    <s v="FREESHIP"/>
    <x v="4"/>
    <n v="2551.16"/>
  </r>
  <r>
    <s v="ORD200283"/>
    <x v="252"/>
    <x v="283"/>
    <x v="5"/>
    <n v="4"/>
    <n v="540.33000000000004"/>
    <s v="990 Main St"/>
    <x v="4"/>
    <x v="0"/>
    <s v="TRK69745608"/>
    <n v="6"/>
    <s v="None"/>
    <x v="4"/>
    <n v="2161.3200000000002"/>
  </r>
  <r>
    <s v="ORD200284"/>
    <x v="223"/>
    <x v="284"/>
    <x v="5"/>
    <n v="5"/>
    <n v="208.17"/>
    <s v="516 Main St"/>
    <x v="2"/>
    <x v="2"/>
    <s v="TRK22023906"/>
    <n v="6"/>
    <s v="SAVE10"/>
    <x v="3"/>
    <n v="1040.8499999999999"/>
  </r>
  <r>
    <s v="ORD200285"/>
    <x v="69"/>
    <x v="285"/>
    <x v="1"/>
    <n v="1"/>
    <n v="338.31"/>
    <s v="974 Main St"/>
    <x v="1"/>
    <x v="3"/>
    <s v="TRK93281700"/>
    <n v="3"/>
    <s v="None"/>
    <x v="4"/>
    <n v="338.31"/>
  </r>
  <r>
    <s v="ORD200286"/>
    <x v="253"/>
    <x v="286"/>
    <x v="0"/>
    <n v="3"/>
    <n v="139.44999999999999"/>
    <s v="187 Main St"/>
    <x v="3"/>
    <x v="2"/>
    <s v="TRK61086952"/>
    <n v="8"/>
    <s v="WINTER15"/>
    <x v="4"/>
    <n v="418.34999999999997"/>
  </r>
  <r>
    <s v="ORD200287"/>
    <x v="254"/>
    <x v="287"/>
    <x v="3"/>
    <n v="4"/>
    <n v="655.17999999999995"/>
    <s v="630 Main St"/>
    <x v="1"/>
    <x v="0"/>
    <s v="TRK26628830"/>
    <n v="5"/>
    <s v="None"/>
    <x v="3"/>
    <n v="2620.7199999999998"/>
  </r>
  <r>
    <s v="ORD200288"/>
    <x v="255"/>
    <x v="288"/>
    <x v="5"/>
    <n v="4"/>
    <n v="512.75"/>
    <s v="537 Main St"/>
    <x v="0"/>
    <x v="2"/>
    <s v="TRK60831391"/>
    <n v="8"/>
    <s v="WINTER15"/>
    <x v="4"/>
    <n v="2051"/>
  </r>
  <r>
    <s v="ORD200289"/>
    <x v="256"/>
    <x v="289"/>
    <x v="3"/>
    <n v="4"/>
    <n v="160.49"/>
    <s v="333 Main St"/>
    <x v="2"/>
    <x v="0"/>
    <s v="TRK55362541"/>
    <n v="8"/>
    <s v="WINTER15"/>
    <x v="1"/>
    <n v="641.96"/>
  </r>
  <r>
    <s v="ORD200290"/>
    <x v="257"/>
    <x v="290"/>
    <x v="3"/>
    <n v="3"/>
    <n v="99.9"/>
    <s v="258 Main St"/>
    <x v="4"/>
    <x v="3"/>
    <s v="TRK14029489"/>
    <n v="8"/>
    <s v="FREESHIP"/>
    <x v="3"/>
    <n v="299.70000000000005"/>
  </r>
  <r>
    <s v="ORD200291"/>
    <x v="258"/>
    <x v="291"/>
    <x v="1"/>
    <n v="2"/>
    <n v="345.01"/>
    <s v="670 Main St"/>
    <x v="2"/>
    <x v="3"/>
    <s v="TRK93676567"/>
    <n v="6"/>
    <s v="FREESHIP"/>
    <x v="4"/>
    <n v="690.02"/>
  </r>
  <r>
    <s v="ORD200292"/>
    <x v="259"/>
    <x v="292"/>
    <x v="0"/>
    <n v="1"/>
    <n v="65.95"/>
    <s v="185 Main St"/>
    <x v="2"/>
    <x v="3"/>
    <s v="TRK31042152"/>
    <n v="5"/>
    <s v="None"/>
    <x v="3"/>
    <n v="65.95"/>
  </r>
  <r>
    <s v="ORD200293"/>
    <x v="223"/>
    <x v="293"/>
    <x v="2"/>
    <n v="4"/>
    <n v="463.04"/>
    <s v="564 Main St"/>
    <x v="3"/>
    <x v="2"/>
    <s v="TRK40450219"/>
    <n v="9"/>
    <s v="None"/>
    <x v="0"/>
    <n v="1852.16"/>
  </r>
  <r>
    <s v="ORD200294"/>
    <x v="260"/>
    <x v="294"/>
    <x v="1"/>
    <n v="2"/>
    <n v="297.70999999999998"/>
    <s v="208 Main St"/>
    <x v="1"/>
    <x v="0"/>
    <s v="TRK67562517"/>
    <n v="7"/>
    <s v="SAVE10"/>
    <x v="1"/>
    <n v="595.41999999999996"/>
  </r>
  <r>
    <s v="ORD200295"/>
    <x v="261"/>
    <x v="295"/>
    <x v="4"/>
    <n v="5"/>
    <n v="107.48"/>
    <s v="278 Main St"/>
    <x v="0"/>
    <x v="1"/>
    <s v="TRK46285799"/>
    <n v="9"/>
    <s v="FREESHIP"/>
    <x v="2"/>
    <n v="537.4"/>
  </r>
  <r>
    <s v="ORD200296"/>
    <x v="83"/>
    <x v="296"/>
    <x v="6"/>
    <n v="5"/>
    <n v="638.79999999999995"/>
    <s v="434 Main St"/>
    <x v="0"/>
    <x v="1"/>
    <s v="TRK52110494"/>
    <n v="10"/>
    <s v="WINTER15"/>
    <x v="1"/>
    <n v="3194"/>
  </r>
  <r>
    <s v="ORD200297"/>
    <x v="262"/>
    <x v="297"/>
    <x v="6"/>
    <n v="2"/>
    <n v="493.88"/>
    <s v="252 Main St"/>
    <x v="2"/>
    <x v="2"/>
    <s v="TRK64862812"/>
    <n v="7"/>
    <s v="SAVE10"/>
    <x v="0"/>
    <n v="987.76"/>
  </r>
  <r>
    <s v="ORD200298"/>
    <x v="263"/>
    <x v="298"/>
    <x v="4"/>
    <n v="4"/>
    <n v="301.17"/>
    <s v="267 Main St"/>
    <x v="1"/>
    <x v="1"/>
    <s v="TRK97825212"/>
    <n v="6"/>
    <s v="None"/>
    <x v="2"/>
    <n v="1204.68"/>
  </r>
  <r>
    <s v="ORD200299"/>
    <x v="264"/>
    <x v="299"/>
    <x v="0"/>
    <n v="1"/>
    <n v="278.66000000000003"/>
    <s v="856 Main St"/>
    <x v="3"/>
    <x v="1"/>
    <s v="TRK42696593"/>
    <n v="2"/>
    <s v="FREESHIP"/>
    <x v="0"/>
    <n v="278.66000000000003"/>
  </r>
  <r>
    <s v="ORD200300"/>
    <x v="265"/>
    <x v="300"/>
    <x v="1"/>
    <n v="1"/>
    <n v="287.45999999999998"/>
    <s v="894 Main St"/>
    <x v="0"/>
    <x v="2"/>
    <s v="TRK33753945"/>
    <n v="3"/>
    <s v="FREESHIP"/>
    <x v="3"/>
    <n v="287.45999999999998"/>
  </r>
  <r>
    <s v="ORD200301"/>
    <x v="67"/>
    <x v="301"/>
    <x v="3"/>
    <n v="1"/>
    <n v="583.99"/>
    <s v="726 Main St"/>
    <x v="4"/>
    <x v="1"/>
    <s v="TRK40149095"/>
    <n v="2"/>
    <s v="SAVE10"/>
    <x v="2"/>
    <n v="583.99"/>
  </r>
  <r>
    <s v="ORD200302"/>
    <x v="220"/>
    <x v="302"/>
    <x v="3"/>
    <n v="3"/>
    <n v="468.74"/>
    <s v="121 Main St"/>
    <x v="4"/>
    <x v="4"/>
    <s v="TRK44142517"/>
    <n v="4"/>
    <s v="FREESHIP"/>
    <x v="0"/>
    <n v="1406.22"/>
  </r>
  <r>
    <s v="ORD200303"/>
    <x v="34"/>
    <x v="303"/>
    <x v="2"/>
    <n v="1"/>
    <n v="30.54"/>
    <s v="368 Main St"/>
    <x v="0"/>
    <x v="2"/>
    <s v="TRK95462192"/>
    <n v="1"/>
    <s v="None"/>
    <x v="4"/>
    <n v="30.54"/>
  </r>
  <r>
    <s v="ORD200304"/>
    <x v="266"/>
    <x v="304"/>
    <x v="0"/>
    <n v="5"/>
    <n v="408.73"/>
    <s v="326 Main St"/>
    <x v="3"/>
    <x v="3"/>
    <s v="TRK75686292"/>
    <n v="10"/>
    <s v="FREESHIP"/>
    <x v="0"/>
    <n v="2043.65"/>
  </r>
  <r>
    <s v="ORD200305"/>
    <x v="97"/>
    <x v="305"/>
    <x v="5"/>
    <n v="4"/>
    <n v="126.89"/>
    <s v="235 Main St"/>
    <x v="4"/>
    <x v="4"/>
    <s v="TRK59353216"/>
    <n v="9"/>
    <s v="FREESHIP"/>
    <x v="0"/>
    <n v="507.56"/>
  </r>
  <r>
    <s v="ORD200306"/>
    <x v="267"/>
    <x v="306"/>
    <x v="4"/>
    <n v="2"/>
    <n v="57.07"/>
    <s v="238 Main St"/>
    <x v="0"/>
    <x v="2"/>
    <s v="TRK65511225"/>
    <n v="3"/>
    <s v="SAVE10"/>
    <x v="0"/>
    <n v="114.14"/>
  </r>
  <r>
    <s v="ORD200307"/>
    <x v="268"/>
    <x v="307"/>
    <x v="5"/>
    <n v="3"/>
    <n v="557.41"/>
    <s v="135 Main St"/>
    <x v="1"/>
    <x v="3"/>
    <s v="TRK11755610"/>
    <n v="4"/>
    <s v="None"/>
    <x v="2"/>
    <n v="1672.23"/>
  </r>
  <r>
    <s v="ORD200308"/>
    <x v="66"/>
    <x v="308"/>
    <x v="4"/>
    <n v="3"/>
    <n v="448.9"/>
    <s v="790 Main St"/>
    <x v="0"/>
    <x v="2"/>
    <s v="TRK98467398"/>
    <n v="7"/>
    <s v="SAVE10"/>
    <x v="0"/>
    <n v="1346.6999999999998"/>
  </r>
  <r>
    <s v="ORD200309"/>
    <x v="269"/>
    <x v="309"/>
    <x v="3"/>
    <n v="4"/>
    <n v="549.76"/>
    <s v="625 Main St"/>
    <x v="0"/>
    <x v="3"/>
    <s v="TRK38033305"/>
    <n v="4"/>
    <s v="FREESHIP"/>
    <x v="3"/>
    <n v="2199.04"/>
  </r>
  <r>
    <s v="ORD200310"/>
    <x v="270"/>
    <x v="310"/>
    <x v="4"/>
    <n v="3"/>
    <n v="132.47999999999999"/>
    <s v="968 Main St"/>
    <x v="1"/>
    <x v="0"/>
    <s v="TRK16094218"/>
    <n v="4"/>
    <s v="None"/>
    <x v="1"/>
    <n v="397.43999999999994"/>
  </r>
  <r>
    <s v="ORD200311"/>
    <x v="271"/>
    <x v="311"/>
    <x v="6"/>
    <n v="5"/>
    <n v="489.37"/>
    <s v="274 Main St"/>
    <x v="1"/>
    <x v="2"/>
    <s v="TRK34786818"/>
    <n v="8"/>
    <s v="None"/>
    <x v="0"/>
    <n v="2446.85"/>
  </r>
  <r>
    <s v="ORD200312"/>
    <x v="272"/>
    <x v="312"/>
    <x v="4"/>
    <n v="5"/>
    <n v="66.31"/>
    <s v="579 Main St"/>
    <x v="3"/>
    <x v="4"/>
    <s v="TRK64742535"/>
    <n v="7"/>
    <s v="FREESHIP"/>
    <x v="1"/>
    <n v="331.55"/>
  </r>
  <r>
    <s v="ORD200313"/>
    <x v="273"/>
    <x v="313"/>
    <x v="3"/>
    <n v="2"/>
    <n v="434.3"/>
    <s v="978 Main St"/>
    <x v="4"/>
    <x v="3"/>
    <s v="TRK22838735"/>
    <n v="7"/>
    <s v="SAVE10"/>
    <x v="0"/>
    <n v="868.6"/>
  </r>
  <r>
    <s v="ORD200314"/>
    <x v="274"/>
    <x v="314"/>
    <x v="6"/>
    <n v="4"/>
    <n v="153.09"/>
    <s v="540 Main St"/>
    <x v="1"/>
    <x v="3"/>
    <s v="TRK48712417"/>
    <n v="4"/>
    <s v="FREESHIP"/>
    <x v="1"/>
    <n v="612.36"/>
  </r>
  <r>
    <s v="ORD200315"/>
    <x v="275"/>
    <x v="315"/>
    <x v="2"/>
    <n v="5"/>
    <n v="91.67"/>
    <s v="301 Main St"/>
    <x v="1"/>
    <x v="1"/>
    <s v="TRK45507090"/>
    <n v="9"/>
    <s v="FREESHIP"/>
    <x v="2"/>
    <n v="458.35"/>
  </r>
  <r>
    <s v="ORD200316"/>
    <x v="276"/>
    <x v="316"/>
    <x v="6"/>
    <n v="4"/>
    <n v="275.27999999999997"/>
    <s v="101 Main St"/>
    <x v="3"/>
    <x v="0"/>
    <s v="TRK86474559"/>
    <n v="9"/>
    <s v="WINTER15"/>
    <x v="3"/>
    <n v="1101.1199999999999"/>
  </r>
  <r>
    <s v="ORD200317"/>
    <x v="132"/>
    <x v="317"/>
    <x v="0"/>
    <n v="2"/>
    <n v="139.94999999999999"/>
    <s v="339 Main St"/>
    <x v="1"/>
    <x v="2"/>
    <s v="TRK22575151"/>
    <n v="5"/>
    <s v="None"/>
    <x v="0"/>
    <n v="279.89999999999998"/>
  </r>
  <r>
    <s v="ORD200318"/>
    <x v="277"/>
    <x v="318"/>
    <x v="3"/>
    <n v="3"/>
    <n v="148.72"/>
    <s v="317 Main St"/>
    <x v="0"/>
    <x v="1"/>
    <s v="TRK95706967"/>
    <n v="7"/>
    <s v="SAVE10"/>
    <x v="4"/>
    <n v="446.15999999999997"/>
  </r>
  <r>
    <s v="ORD200319"/>
    <x v="278"/>
    <x v="319"/>
    <x v="5"/>
    <n v="2"/>
    <n v="563.05999999999995"/>
    <s v="413 Main St"/>
    <x v="4"/>
    <x v="2"/>
    <s v="TRK48974907"/>
    <n v="6"/>
    <s v="None"/>
    <x v="0"/>
    <n v="1126.1199999999999"/>
  </r>
  <r>
    <s v="ORD200320"/>
    <x v="36"/>
    <x v="320"/>
    <x v="4"/>
    <n v="1"/>
    <n v="625.51"/>
    <s v="772 Main St"/>
    <x v="2"/>
    <x v="0"/>
    <s v="TRK48792951"/>
    <n v="1"/>
    <s v="FREESHIP"/>
    <x v="3"/>
    <n v="625.51"/>
  </r>
  <r>
    <s v="ORD200321"/>
    <x v="279"/>
    <x v="321"/>
    <x v="1"/>
    <n v="4"/>
    <n v="152.29"/>
    <s v="135 Main St"/>
    <x v="0"/>
    <x v="1"/>
    <s v="TRK44194358"/>
    <n v="6"/>
    <s v="WINTER15"/>
    <x v="4"/>
    <n v="609.16"/>
  </r>
  <r>
    <s v="ORD200322"/>
    <x v="280"/>
    <x v="322"/>
    <x v="1"/>
    <n v="5"/>
    <n v="231.82"/>
    <s v="339 Main St"/>
    <x v="0"/>
    <x v="3"/>
    <s v="TRK18233748"/>
    <n v="6"/>
    <s v="SAVE10"/>
    <x v="3"/>
    <n v="1159.0999999999999"/>
  </r>
  <r>
    <s v="ORD200323"/>
    <x v="281"/>
    <x v="323"/>
    <x v="5"/>
    <n v="1"/>
    <n v="150.16999999999999"/>
    <s v="414 Main St"/>
    <x v="0"/>
    <x v="2"/>
    <s v="TRK63820842"/>
    <n v="1"/>
    <s v="SAVE10"/>
    <x v="1"/>
    <n v="150.16999999999999"/>
  </r>
  <r>
    <s v="ORD200324"/>
    <x v="136"/>
    <x v="324"/>
    <x v="2"/>
    <n v="3"/>
    <n v="70.930000000000007"/>
    <s v="847 Main St"/>
    <x v="0"/>
    <x v="2"/>
    <s v="TRK70193221"/>
    <n v="5"/>
    <s v="None"/>
    <x v="1"/>
    <n v="212.79000000000002"/>
  </r>
  <r>
    <s v="ORD200325"/>
    <x v="282"/>
    <x v="325"/>
    <x v="6"/>
    <n v="3"/>
    <n v="361.39"/>
    <s v="665 Main St"/>
    <x v="2"/>
    <x v="0"/>
    <s v="TRK61123177"/>
    <n v="8"/>
    <s v="None"/>
    <x v="1"/>
    <n v="1084.17"/>
  </r>
  <r>
    <s v="ORD200326"/>
    <x v="283"/>
    <x v="326"/>
    <x v="5"/>
    <n v="5"/>
    <n v="670.48"/>
    <s v="273 Main St"/>
    <x v="3"/>
    <x v="2"/>
    <s v="TRK98353867"/>
    <n v="5"/>
    <s v="SAVE10"/>
    <x v="3"/>
    <n v="3352.4"/>
  </r>
  <r>
    <s v="ORD200327"/>
    <x v="284"/>
    <x v="327"/>
    <x v="1"/>
    <n v="1"/>
    <n v="359.99"/>
    <s v="385 Main St"/>
    <x v="3"/>
    <x v="1"/>
    <s v="TRK43940016"/>
    <n v="5"/>
    <s v="SAVE10"/>
    <x v="2"/>
    <n v="359.99"/>
  </r>
  <r>
    <s v="ORD200328"/>
    <x v="285"/>
    <x v="328"/>
    <x v="2"/>
    <n v="5"/>
    <n v="674.04"/>
    <s v="546 Main St"/>
    <x v="1"/>
    <x v="1"/>
    <s v="TRK89401624"/>
    <n v="7"/>
    <s v="SAVE10"/>
    <x v="4"/>
    <n v="3370.2"/>
  </r>
  <r>
    <s v="ORD200329"/>
    <x v="286"/>
    <x v="329"/>
    <x v="3"/>
    <n v="4"/>
    <n v="283.16000000000003"/>
    <s v="306 Main St"/>
    <x v="2"/>
    <x v="0"/>
    <s v="TRK63224811"/>
    <n v="6"/>
    <s v="None"/>
    <x v="4"/>
    <n v="1132.6400000000001"/>
  </r>
  <r>
    <s v="ORD200330"/>
    <x v="287"/>
    <x v="330"/>
    <x v="6"/>
    <n v="5"/>
    <n v="260.52999999999997"/>
    <s v="532 Main St"/>
    <x v="3"/>
    <x v="4"/>
    <s v="TRK54059198"/>
    <n v="5"/>
    <s v="SAVE10"/>
    <x v="0"/>
    <n v="1302.6499999999999"/>
  </r>
  <r>
    <s v="ORD200331"/>
    <x v="288"/>
    <x v="331"/>
    <x v="4"/>
    <n v="3"/>
    <n v="422.13"/>
    <s v="187 Main St"/>
    <x v="1"/>
    <x v="3"/>
    <s v="TRK25703134"/>
    <n v="7"/>
    <s v="SAVE10"/>
    <x v="3"/>
    <n v="1266.3899999999999"/>
  </r>
  <r>
    <s v="ORD200332"/>
    <x v="289"/>
    <x v="332"/>
    <x v="6"/>
    <n v="5"/>
    <n v="125.02"/>
    <s v="607 Main St"/>
    <x v="0"/>
    <x v="4"/>
    <s v="TRK67499316"/>
    <n v="9"/>
    <s v="SAVE10"/>
    <x v="4"/>
    <n v="625.1"/>
  </r>
  <r>
    <s v="ORD200333"/>
    <x v="162"/>
    <x v="333"/>
    <x v="1"/>
    <n v="1"/>
    <n v="198.51"/>
    <s v="818 Main St"/>
    <x v="2"/>
    <x v="2"/>
    <s v="TRK52086740"/>
    <n v="5"/>
    <s v="WINTER15"/>
    <x v="0"/>
    <n v="198.51"/>
  </r>
  <r>
    <s v="ORD200334"/>
    <x v="290"/>
    <x v="334"/>
    <x v="3"/>
    <n v="4"/>
    <n v="224.75"/>
    <s v="728 Main St"/>
    <x v="1"/>
    <x v="3"/>
    <s v="TRK20635777"/>
    <n v="7"/>
    <s v="WINTER15"/>
    <x v="3"/>
    <n v="899"/>
  </r>
  <r>
    <s v="ORD200335"/>
    <x v="291"/>
    <x v="335"/>
    <x v="2"/>
    <n v="3"/>
    <n v="205.86"/>
    <s v="978 Main St"/>
    <x v="3"/>
    <x v="0"/>
    <s v="TRK34801199"/>
    <n v="4"/>
    <s v="None"/>
    <x v="2"/>
    <n v="617.58000000000004"/>
  </r>
  <r>
    <s v="ORD200336"/>
    <x v="10"/>
    <x v="336"/>
    <x v="5"/>
    <n v="1"/>
    <n v="18.2"/>
    <s v="441 Main St"/>
    <x v="0"/>
    <x v="4"/>
    <s v="TRK10143345"/>
    <n v="4"/>
    <s v="SAVE10"/>
    <x v="0"/>
    <n v="18.2"/>
  </r>
  <r>
    <s v="ORD200337"/>
    <x v="292"/>
    <x v="337"/>
    <x v="2"/>
    <n v="3"/>
    <n v="502.77"/>
    <s v="599 Main St"/>
    <x v="0"/>
    <x v="2"/>
    <s v="TRK66980447"/>
    <n v="8"/>
    <s v="WINTER15"/>
    <x v="2"/>
    <n v="1508.31"/>
  </r>
  <r>
    <s v="ORD200338"/>
    <x v="293"/>
    <x v="338"/>
    <x v="1"/>
    <n v="5"/>
    <n v="305.49"/>
    <s v="704 Main St"/>
    <x v="0"/>
    <x v="0"/>
    <s v="TRK64112352"/>
    <n v="10"/>
    <s v="None"/>
    <x v="1"/>
    <n v="1527.45"/>
  </r>
  <r>
    <s v="ORD200339"/>
    <x v="294"/>
    <x v="339"/>
    <x v="4"/>
    <n v="2"/>
    <n v="236.33"/>
    <s v="398 Main St"/>
    <x v="1"/>
    <x v="4"/>
    <s v="TRK62422797"/>
    <n v="3"/>
    <s v="SAVE10"/>
    <x v="0"/>
    <n v="472.66"/>
  </r>
  <r>
    <s v="ORD200340"/>
    <x v="295"/>
    <x v="340"/>
    <x v="5"/>
    <n v="5"/>
    <n v="521.25"/>
    <s v="826 Main St"/>
    <x v="4"/>
    <x v="1"/>
    <s v="TRK25569378"/>
    <n v="8"/>
    <s v="None"/>
    <x v="2"/>
    <n v="2606.25"/>
  </r>
  <r>
    <s v="ORD200341"/>
    <x v="296"/>
    <x v="341"/>
    <x v="2"/>
    <n v="1"/>
    <n v="167.15"/>
    <s v="293 Main St"/>
    <x v="3"/>
    <x v="0"/>
    <s v="TRK61357272"/>
    <n v="5"/>
    <s v="WINTER15"/>
    <x v="2"/>
    <n v="167.15"/>
  </r>
  <r>
    <s v="ORD200342"/>
    <x v="53"/>
    <x v="342"/>
    <x v="0"/>
    <n v="5"/>
    <n v="466.42"/>
    <s v="619 Main St"/>
    <x v="3"/>
    <x v="2"/>
    <s v="TRK95935805"/>
    <n v="5"/>
    <s v="None"/>
    <x v="1"/>
    <n v="2332.1"/>
  </r>
  <r>
    <s v="ORD200343"/>
    <x v="297"/>
    <x v="343"/>
    <x v="4"/>
    <n v="1"/>
    <n v="527.57000000000005"/>
    <s v="919 Main St"/>
    <x v="0"/>
    <x v="4"/>
    <s v="TRK64087938"/>
    <n v="3"/>
    <s v="FREESHIP"/>
    <x v="3"/>
    <n v="527.57000000000005"/>
  </r>
  <r>
    <s v="ORD200344"/>
    <x v="298"/>
    <x v="344"/>
    <x v="2"/>
    <n v="3"/>
    <n v="623.34"/>
    <s v="248 Main St"/>
    <x v="1"/>
    <x v="1"/>
    <s v="TRK67558189"/>
    <n v="3"/>
    <s v="SAVE10"/>
    <x v="0"/>
    <n v="1870.02"/>
  </r>
  <r>
    <s v="ORD200345"/>
    <x v="173"/>
    <x v="345"/>
    <x v="2"/>
    <n v="5"/>
    <n v="501.26"/>
    <s v="259 Main St"/>
    <x v="3"/>
    <x v="0"/>
    <s v="TRK37285406"/>
    <n v="10"/>
    <s v="FREESHIP"/>
    <x v="1"/>
    <n v="2506.3000000000002"/>
  </r>
  <r>
    <s v="ORD200346"/>
    <x v="299"/>
    <x v="346"/>
    <x v="2"/>
    <n v="1"/>
    <n v="655.09"/>
    <s v="876 Main St"/>
    <x v="4"/>
    <x v="4"/>
    <s v="TRK44680433"/>
    <n v="6"/>
    <s v="None"/>
    <x v="1"/>
    <n v="655.09"/>
  </r>
  <r>
    <s v="ORD200347"/>
    <x v="300"/>
    <x v="347"/>
    <x v="4"/>
    <n v="4"/>
    <n v="264.79000000000002"/>
    <s v="380 Main St"/>
    <x v="2"/>
    <x v="4"/>
    <s v="TRK21109187"/>
    <n v="5"/>
    <s v="SAVE10"/>
    <x v="4"/>
    <n v="1059.1600000000001"/>
  </r>
  <r>
    <s v="ORD200348"/>
    <x v="206"/>
    <x v="348"/>
    <x v="5"/>
    <n v="3"/>
    <n v="359.73"/>
    <s v="885 Main St"/>
    <x v="0"/>
    <x v="2"/>
    <s v="TRK72633998"/>
    <n v="7"/>
    <s v="FREESHIP"/>
    <x v="2"/>
    <n v="1079.19"/>
  </r>
  <r>
    <s v="ORD200349"/>
    <x v="115"/>
    <x v="349"/>
    <x v="3"/>
    <n v="1"/>
    <n v="465.33"/>
    <s v="824 Main St"/>
    <x v="3"/>
    <x v="3"/>
    <s v="TRK56016905"/>
    <n v="2"/>
    <s v="FREESHIP"/>
    <x v="4"/>
    <n v="465.33"/>
  </r>
  <r>
    <s v="ORD200350"/>
    <x v="301"/>
    <x v="350"/>
    <x v="3"/>
    <n v="2"/>
    <n v="54.41"/>
    <s v="495 Main St"/>
    <x v="1"/>
    <x v="0"/>
    <s v="TRK60127216"/>
    <n v="6"/>
    <s v="None"/>
    <x v="0"/>
    <n v="108.82"/>
  </r>
  <r>
    <s v="ORD200351"/>
    <x v="302"/>
    <x v="351"/>
    <x v="5"/>
    <n v="1"/>
    <n v="64.66"/>
    <s v="494 Main St"/>
    <x v="0"/>
    <x v="3"/>
    <s v="TRK89406816"/>
    <n v="4"/>
    <s v="None"/>
    <x v="0"/>
    <n v="64.66"/>
  </r>
  <r>
    <s v="ORD200352"/>
    <x v="303"/>
    <x v="352"/>
    <x v="3"/>
    <n v="5"/>
    <n v="173.96"/>
    <s v="995 Main St"/>
    <x v="0"/>
    <x v="4"/>
    <s v="TRK59546992"/>
    <n v="8"/>
    <s v="WINTER15"/>
    <x v="0"/>
    <n v="869.80000000000007"/>
  </r>
  <r>
    <s v="ORD200353"/>
    <x v="210"/>
    <x v="353"/>
    <x v="2"/>
    <n v="1"/>
    <n v="630.82000000000005"/>
    <s v="171 Main St"/>
    <x v="1"/>
    <x v="3"/>
    <s v="TRK15195225"/>
    <n v="5"/>
    <s v="FREESHIP"/>
    <x v="4"/>
    <n v="630.82000000000005"/>
  </r>
  <r>
    <s v="ORD200354"/>
    <x v="304"/>
    <x v="354"/>
    <x v="1"/>
    <n v="1"/>
    <n v="693.41"/>
    <s v="992 Main St"/>
    <x v="0"/>
    <x v="0"/>
    <s v="TRK11970357"/>
    <n v="4"/>
    <s v="None"/>
    <x v="0"/>
    <n v="693.41"/>
  </r>
  <r>
    <s v="ORD200355"/>
    <x v="305"/>
    <x v="355"/>
    <x v="2"/>
    <n v="3"/>
    <n v="433.33"/>
    <s v="677 Main St"/>
    <x v="2"/>
    <x v="1"/>
    <s v="TRK78766533"/>
    <n v="4"/>
    <s v="FREESHIP"/>
    <x v="1"/>
    <n v="1299.99"/>
  </r>
  <r>
    <s v="ORD200356"/>
    <x v="306"/>
    <x v="356"/>
    <x v="4"/>
    <n v="5"/>
    <n v="374.58"/>
    <s v="907 Main St"/>
    <x v="3"/>
    <x v="1"/>
    <s v="TRK83889574"/>
    <n v="10"/>
    <s v="FREESHIP"/>
    <x v="0"/>
    <n v="1872.8999999999999"/>
  </r>
  <r>
    <s v="ORD200357"/>
    <x v="307"/>
    <x v="357"/>
    <x v="5"/>
    <n v="5"/>
    <n v="408.56"/>
    <s v="398 Main St"/>
    <x v="0"/>
    <x v="3"/>
    <s v="TRK98700702"/>
    <n v="8"/>
    <s v="FREESHIP"/>
    <x v="0"/>
    <n v="2042.8"/>
  </r>
  <r>
    <s v="ORD200358"/>
    <x v="158"/>
    <x v="358"/>
    <x v="2"/>
    <n v="2"/>
    <n v="183.67"/>
    <s v="747 Main St"/>
    <x v="1"/>
    <x v="1"/>
    <s v="TRK82540521"/>
    <n v="3"/>
    <s v="SAVE10"/>
    <x v="4"/>
    <n v="367.34"/>
  </r>
  <r>
    <s v="ORD200359"/>
    <x v="308"/>
    <x v="359"/>
    <x v="6"/>
    <n v="4"/>
    <n v="606.57000000000005"/>
    <s v="303 Main St"/>
    <x v="0"/>
    <x v="3"/>
    <s v="TRK23286689"/>
    <n v="5"/>
    <s v="WINTER15"/>
    <x v="1"/>
    <n v="2426.2800000000002"/>
  </r>
  <r>
    <s v="ORD200360"/>
    <x v="309"/>
    <x v="360"/>
    <x v="1"/>
    <n v="4"/>
    <n v="589.57000000000005"/>
    <s v="779 Main St"/>
    <x v="4"/>
    <x v="4"/>
    <s v="TRK34630612"/>
    <n v="8"/>
    <s v="None"/>
    <x v="0"/>
    <n v="2358.2800000000002"/>
  </r>
  <r>
    <s v="ORD200361"/>
    <x v="310"/>
    <x v="361"/>
    <x v="4"/>
    <n v="5"/>
    <n v="659.85"/>
    <s v="197 Main St"/>
    <x v="2"/>
    <x v="3"/>
    <s v="TRK32743531"/>
    <n v="9"/>
    <s v="SAVE10"/>
    <x v="3"/>
    <n v="3299.25"/>
  </r>
  <r>
    <s v="ORD200362"/>
    <x v="78"/>
    <x v="362"/>
    <x v="0"/>
    <n v="4"/>
    <n v="206.84"/>
    <s v="312 Main St"/>
    <x v="4"/>
    <x v="1"/>
    <s v="TRK60476656"/>
    <n v="5"/>
    <s v="WINTER15"/>
    <x v="0"/>
    <n v="827.36"/>
  </r>
  <r>
    <s v="ORD200363"/>
    <x v="75"/>
    <x v="363"/>
    <x v="5"/>
    <n v="5"/>
    <n v="113.87"/>
    <s v="871 Main St"/>
    <x v="2"/>
    <x v="4"/>
    <s v="TRK42584392"/>
    <n v="6"/>
    <s v="SAVE10"/>
    <x v="2"/>
    <n v="569.35"/>
  </r>
  <r>
    <s v="ORD200364"/>
    <x v="254"/>
    <x v="364"/>
    <x v="1"/>
    <n v="5"/>
    <n v="628.74"/>
    <s v="740 Main St"/>
    <x v="4"/>
    <x v="1"/>
    <s v="TRK86767206"/>
    <n v="9"/>
    <s v="FREESHIP"/>
    <x v="3"/>
    <n v="3143.7"/>
  </r>
  <r>
    <s v="ORD200365"/>
    <x v="311"/>
    <x v="365"/>
    <x v="1"/>
    <n v="1"/>
    <n v="678.38"/>
    <s v="607 Main St"/>
    <x v="2"/>
    <x v="1"/>
    <s v="TRK74263180"/>
    <n v="4"/>
    <s v="SAVE10"/>
    <x v="1"/>
    <n v="678.38"/>
  </r>
  <r>
    <s v="ORD200366"/>
    <x v="312"/>
    <x v="366"/>
    <x v="4"/>
    <n v="3"/>
    <n v="602.24"/>
    <s v="603 Main St"/>
    <x v="0"/>
    <x v="4"/>
    <s v="TRK40630538"/>
    <n v="8"/>
    <s v="None"/>
    <x v="1"/>
    <n v="1806.72"/>
  </r>
  <r>
    <s v="ORD200367"/>
    <x v="313"/>
    <x v="367"/>
    <x v="5"/>
    <n v="5"/>
    <n v="658.77"/>
    <s v="712 Main St"/>
    <x v="3"/>
    <x v="4"/>
    <s v="TRK82284400"/>
    <n v="10"/>
    <s v="FREESHIP"/>
    <x v="0"/>
    <n v="3293.85"/>
  </r>
  <r>
    <s v="ORD200368"/>
    <x v="31"/>
    <x v="368"/>
    <x v="0"/>
    <n v="3"/>
    <n v="271.02"/>
    <s v="403 Main St"/>
    <x v="2"/>
    <x v="1"/>
    <s v="TRK89728869"/>
    <n v="6"/>
    <s v="None"/>
    <x v="4"/>
    <n v="813.06"/>
  </r>
  <r>
    <s v="ORD200369"/>
    <x v="70"/>
    <x v="369"/>
    <x v="0"/>
    <n v="5"/>
    <n v="375.25"/>
    <s v="216 Main St"/>
    <x v="3"/>
    <x v="4"/>
    <s v="TRK73937402"/>
    <n v="9"/>
    <s v="SAVE10"/>
    <x v="2"/>
    <n v="1876.25"/>
  </r>
  <r>
    <s v="ORD200370"/>
    <x v="120"/>
    <x v="370"/>
    <x v="1"/>
    <n v="1"/>
    <n v="312.11"/>
    <s v="870 Main St"/>
    <x v="1"/>
    <x v="1"/>
    <s v="TRK41143313"/>
    <n v="4"/>
    <s v="WINTER15"/>
    <x v="3"/>
    <n v="312.11"/>
  </r>
  <r>
    <s v="ORD200371"/>
    <x v="314"/>
    <x v="371"/>
    <x v="1"/>
    <n v="5"/>
    <n v="307.76"/>
    <s v="179 Main St"/>
    <x v="3"/>
    <x v="4"/>
    <s v="TRK82229639"/>
    <n v="9"/>
    <s v="FREESHIP"/>
    <x v="4"/>
    <n v="1538.8"/>
  </r>
  <r>
    <s v="ORD200372"/>
    <x v="311"/>
    <x v="372"/>
    <x v="3"/>
    <n v="3"/>
    <n v="483.53"/>
    <s v="166 Main St"/>
    <x v="4"/>
    <x v="2"/>
    <s v="TRK12123939"/>
    <n v="4"/>
    <s v="None"/>
    <x v="1"/>
    <n v="1450.59"/>
  </r>
  <r>
    <s v="ORD200373"/>
    <x v="315"/>
    <x v="373"/>
    <x v="5"/>
    <n v="3"/>
    <n v="341.15"/>
    <s v="969 Main St"/>
    <x v="4"/>
    <x v="4"/>
    <s v="TRK84505143"/>
    <n v="4"/>
    <s v="FREESHIP"/>
    <x v="0"/>
    <n v="1023.4499999999999"/>
  </r>
  <r>
    <s v="ORD200374"/>
    <x v="316"/>
    <x v="374"/>
    <x v="0"/>
    <n v="1"/>
    <n v="571.9"/>
    <s v="129 Main St"/>
    <x v="3"/>
    <x v="4"/>
    <s v="TRK67648338"/>
    <n v="1"/>
    <s v="WINTER15"/>
    <x v="0"/>
    <n v="571.9"/>
  </r>
  <r>
    <s v="ORD200375"/>
    <x v="317"/>
    <x v="375"/>
    <x v="0"/>
    <n v="4"/>
    <n v="95.03"/>
    <s v="400 Main St"/>
    <x v="1"/>
    <x v="0"/>
    <s v="TRK71027262"/>
    <n v="8"/>
    <s v="FREESHIP"/>
    <x v="3"/>
    <n v="380.12"/>
  </r>
  <r>
    <s v="ORD200376"/>
    <x v="318"/>
    <x v="376"/>
    <x v="0"/>
    <n v="5"/>
    <n v="201.22"/>
    <s v="341 Main St"/>
    <x v="0"/>
    <x v="4"/>
    <s v="TRK20788231"/>
    <n v="6"/>
    <s v="FREESHIP"/>
    <x v="3"/>
    <n v="1006.1"/>
  </r>
  <r>
    <s v="ORD200377"/>
    <x v="319"/>
    <x v="377"/>
    <x v="0"/>
    <n v="1"/>
    <n v="260.26"/>
    <s v="625 Main St"/>
    <x v="1"/>
    <x v="4"/>
    <s v="TRK44538419"/>
    <n v="5"/>
    <s v="WINTER15"/>
    <x v="0"/>
    <n v="260.26"/>
  </r>
  <r>
    <s v="ORD200378"/>
    <x v="320"/>
    <x v="378"/>
    <x v="3"/>
    <n v="5"/>
    <n v="64.5"/>
    <s v="148 Main St"/>
    <x v="2"/>
    <x v="4"/>
    <s v="TRK91029390"/>
    <n v="8"/>
    <s v="WINTER15"/>
    <x v="0"/>
    <n v="322.5"/>
  </r>
  <r>
    <s v="ORD200379"/>
    <x v="321"/>
    <x v="379"/>
    <x v="1"/>
    <n v="3"/>
    <n v="297.67"/>
    <s v="500 Main St"/>
    <x v="1"/>
    <x v="0"/>
    <s v="TRK85756094"/>
    <n v="6"/>
    <s v="None"/>
    <x v="4"/>
    <n v="893.01"/>
  </r>
  <r>
    <s v="ORD200380"/>
    <x v="322"/>
    <x v="380"/>
    <x v="4"/>
    <n v="4"/>
    <n v="331.9"/>
    <s v="127 Main St"/>
    <x v="4"/>
    <x v="4"/>
    <s v="TRK52935059"/>
    <n v="5"/>
    <s v="SAVE10"/>
    <x v="0"/>
    <n v="1327.6"/>
  </r>
  <r>
    <s v="ORD200381"/>
    <x v="323"/>
    <x v="381"/>
    <x v="3"/>
    <n v="1"/>
    <n v="191.76"/>
    <s v="223 Main St"/>
    <x v="2"/>
    <x v="2"/>
    <s v="TRK98103385"/>
    <n v="1"/>
    <s v="FREESHIP"/>
    <x v="0"/>
    <n v="191.76"/>
  </r>
  <r>
    <s v="ORD200382"/>
    <x v="324"/>
    <x v="382"/>
    <x v="4"/>
    <n v="4"/>
    <n v="263.08999999999997"/>
    <s v="272 Main St"/>
    <x v="0"/>
    <x v="0"/>
    <s v="TRK91702525"/>
    <n v="8"/>
    <s v="SAVE10"/>
    <x v="4"/>
    <n v="1052.3599999999999"/>
  </r>
  <r>
    <s v="ORD200383"/>
    <x v="325"/>
    <x v="383"/>
    <x v="3"/>
    <n v="4"/>
    <n v="393.8"/>
    <s v="837 Main St"/>
    <x v="2"/>
    <x v="4"/>
    <s v="TRK45275439"/>
    <n v="7"/>
    <s v="SAVE10"/>
    <x v="2"/>
    <n v="1575.2"/>
  </r>
  <r>
    <s v="ORD200384"/>
    <x v="167"/>
    <x v="384"/>
    <x v="3"/>
    <n v="3"/>
    <n v="553.57000000000005"/>
    <s v="147 Main St"/>
    <x v="2"/>
    <x v="2"/>
    <s v="TRK45688220"/>
    <n v="4"/>
    <s v="FREESHIP"/>
    <x v="3"/>
    <n v="1660.71"/>
  </r>
  <r>
    <s v="ORD200385"/>
    <x v="150"/>
    <x v="385"/>
    <x v="3"/>
    <n v="5"/>
    <n v="191.63"/>
    <s v="752 Main St"/>
    <x v="3"/>
    <x v="3"/>
    <s v="TRK65290904"/>
    <n v="6"/>
    <s v="FREESHIP"/>
    <x v="3"/>
    <n v="958.15"/>
  </r>
  <r>
    <s v="ORD200386"/>
    <x v="200"/>
    <x v="386"/>
    <x v="2"/>
    <n v="1"/>
    <n v="93.02"/>
    <s v="373 Main St"/>
    <x v="1"/>
    <x v="2"/>
    <s v="TRK32588504"/>
    <n v="4"/>
    <s v="None"/>
    <x v="2"/>
    <n v="93.02"/>
  </r>
  <r>
    <s v="ORD200387"/>
    <x v="326"/>
    <x v="387"/>
    <x v="4"/>
    <n v="2"/>
    <n v="39.53"/>
    <s v="904 Main St"/>
    <x v="2"/>
    <x v="0"/>
    <s v="TRK55423551"/>
    <n v="3"/>
    <s v="WINTER15"/>
    <x v="4"/>
    <n v="79.06"/>
  </r>
  <r>
    <s v="ORD200388"/>
    <x v="153"/>
    <x v="388"/>
    <x v="4"/>
    <n v="3"/>
    <n v="633.97"/>
    <s v="152 Main St"/>
    <x v="4"/>
    <x v="4"/>
    <s v="TRK49157047"/>
    <n v="7"/>
    <s v="WINTER15"/>
    <x v="3"/>
    <n v="1901.91"/>
  </r>
  <r>
    <s v="ORD200389"/>
    <x v="327"/>
    <x v="389"/>
    <x v="6"/>
    <n v="4"/>
    <n v="697.5"/>
    <s v="558 Main St"/>
    <x v="4"/>
    <x v="0"/>
    <s v="TRK40543461"/>
    <n v="7"/>
    <s v="FREESHIP"/>
    <x v="1"/>
    <n v="2790"/>
  </r>
  <r>
    <s v="ORD200390"/>
    <x v="328"/>
    <x v="390"/>
    <x v="4"/>
    <n v="5"/>
    <n v="508.69"/>
    <s v="885 Main St"/>
    <x v="4"/>
    <x v="3"/>
    <s v="TRK30547638"/>
    <n v="10"/>
    <s v="FREESHIP"/>
    <x v="4"/>
    <n v="2543.4499999999998"/>
  </r>
  <r>
    <s v="ORD200391"/>
    <x v="317"/>
    <x v="391"/>
    <x v="5"/>
    <n v="2"/>
    <n v="527.46"/>
    <s v="516 Main St"/>
    <x v="0"/>
    <x v="1"/>
    <s v="TRK82009557"/>
    <n v="3"/>
    <s v="FREESHIP"/>
    <x v="1"/>
    <n v="1054.92"/>
  </r>
  <r>
    <s v="ORD200392"/>
    <x v="329"/>
    <x v="392"/>
    <x v="1"/>
    <n v="1"/>
    <n v="627.20000000000005"/>
    <s v="197 Main St"/>
    <x v="1"/>
    <x v="3"/>
    <s v="TRK47366265"/>
    <n v="1"/>
    <s v="WINTER15"/>
    <x v="2"/>
    <n v="627.20000000000005"/>
  </r>
  <r>
    <s v="ORD200393"/>
    <x v="330"/>
    <x v="393"/>
    <x v="4"/>
    <n v="1"/>
    <n v="75.010000000000005"/>
    <s v="921 Main St"/>
    <x v="2"/>
    <x v="2"/>
    <s v="TRK24632134"/>
    <n v="3"/>
    <s v="None"/>
    <x v="4"/>
    <n v="75.010000000000005"/>
  </r>
  <r>
    <s v="ORD200394"/>
    <x v="176"/>
    <x v="394"/>
    <x v="6"/>
    <n v="5"/>
    <n v="529.54999999999995"/>
    <s v="359 Main St"/>
    <x v="3"/>
    <x v="0"/>
    <s v="TRK34848650"/>
    <n v="10"/>
    <s v="None"/>
    <x v="3"/>
    <n v="2647.75"/>
  </r>
  <r>
    <s v="ORD200395"/>
    <x v="331"/>
    <x v="395"/>
    <x v="1"/>
    <n v="3"/>
    <n v="127.41"/>
    <s v="830 Main St"/>
    <x v="3"/>
    <x v="3"/>
    <s v="TRK35386084"/>
    <n v="7"/>
    <s v="SAVE10"/>
    <x v="1"/>
    <n v="382.23"/>
  </r>
  <r>
    <s v="ORD200396"/>
    <x v="142"/>
    <x v="396"/>
    <x v="2"/>
    <n v="5"/>
    <n v="287.13"/>
    <s v="778 Main St"/>
    <x v="1"/>
    <x v="0"/>
    <s v="TRK82004594"/>
    <n v="10"/>
    <s v="SAVE10"/>
    <x v="2"/>
    <n v="1435.65"/>
  </r>
  <r>
    <s v="ORD200397"/>
    <x v="332"/>
    <x v="397"/>
    <x v="0"/>
    <n v="1"/>
    <n v="427.06"/>
    <s v="987 Main St"/>
    <x v="1"/>
    <x v="1"/>
    <s v="TRK86674704"/>
    <n v="1"/>
    <s v="WINTER15"/>
    <x v="1"/>
    <n v="427.06"/>
  </r>
  <r>
    <s v="ORD200398"/>
    <x v="333"/>
    <x v="398"/>
    <x v="1"/>
    <n v="5"/>
    <n v="53.93"/>
    <s v="729 Main St"/>
    <x v="3"/>
    <x v="0"/>
    <s v="TRK98925264"/>
    <n v="7"/>
    <s v="SAVE10"/>
    <x v="0"/>
    <n v="269.64999999999998"/>
  </r>
  <r>
    <s v="ORD200399"/>
    <x v="334"/>
    <x v="399"/>
    <x v="2"/>
    <n v="5"/>
    <n v="423.93"/>
    <s v="319 Main St"/>
    <x v="0"/>
    <x v="2"/>
    <s v="TRK32012588"/>
    <n v="5"/>
    <s v="FREESHIP"/>
    <x v="3"/>
    <n v="2119.65"/>
  </r>
  <r>
    <s v="ORD200400"/>
    <x v="335"/>
    <x v="400"/>
    <x v="6"/>
    <n v="4"/>
    <n v="160.22"/>
    <s v="304 Main St"/>
    <x v="0"/>
    <x v="2"/>
    <s v="TRK60088901"/>
    <n v="9"/>
    <s v="WINTER15"/>
    <x v="0"/>
    <n v="640.88"/>
  </r>
  <r>
    <s v="ORD200401"/>
    <x v="23"/>
    <x v="401"/>
    <x v="4"/>
    <n v="1"/>
    <n v="538.67999999999995"/>
    <s v="197 Main St"/>
    <x v="0"/>
    <x v="2"/>
    <s v="TRK14225465"/>
    <n v="6"/>
    <s v="None"/>
    <x v="1"/>
    <n v="538.67999999999995"/>
  </r>
  <r>
    <s v="ORD200402"/>
    <x v="336"/>
    <x v="402"/>
    <x v="4"/>
    <n v="5"/>
    <n v="337.38"/>
    <s v="858 Main St"/>
    <x v="3"/>
    <x v="0"/>
    <s v="TRK79746259"/>
    <n v="5"/>
    <s v="None"/>
    <x v="1"/>
    <n v="1686.9"/>
  </r>
  <r>
    <s v="ORD200403"/>
    <x v="337"/>
    <x v="403"/>
    <x v="2"/>
    <n v="1"/>
    <n v="620.21"/>
    <s v="740 Main St"/>
    <x v="1"/>
    <x v="2"/>
    <s v="TRK98333066"/>
    <n v="1"/>
    <s v="FREESHIP"/>
    <x v="1"/>
    <n v="620.21"/>
  </r>
  <r>
    <s v="ORD200404"/>
    <x v="338"/>
    <x v="404"/>
    <x v="0"/>
    <n v="2"/>
    <n v="99.1"/>
    <s v="440 Main St"/>
    <x v="4"/>
    <x v="3"/>
    <s v="TRK54571699"/>
    <n v="6"/>
    <s v="None"/>
    <x v="0"/>
    <n v="198.2"/>
  </r>
  <r>
    <s v="ORD200405"/>
    <x v="281"/>
    <x v="405"/>
    <x v="0"/>
    <n v="4"/>
    <n v="451.97"/>
    <s v="603 Main St"/>
    <x v="1"/>
    <x v="1"/>
    <s v="TRK64664424"/>
    <n v="7"/>
    <s v="WINTER15"/>
    <x v="2"/>
    <n v="1807.88"/>
  </r>
  <r>
    <s v="ORD200406"/>
    <x v="339"/>
    <x v="406"/>
    <x v="2"/>
    <n v="4"/>
    <n v="66.099999999999994"/>
    <s v="572 Main St"/>
    <x v="4"/>
    <x v="2"/>
    <s v="TRK50284486"/>
    <n v="9"/>
    <s v="WINTER15"/>
    <x v="4"/>
    <n v="264.39999999999998"/>
  </r>
  <r>
    <s v="ORD200407"/>
    <x v="340"/>
    <x v="407"/>
    <x v="2"/>
    <n v="4"/>
    <n v="547.32000000000005"/>
    <s v="250 Main St"/>
    <x v="4"/>
    <x v="2"/>
    <s v="TRK72547640"/>
    <n v="8"/>
    <s v="FREESHIP"/>
    <x v="0"/>
    <n v="2189.2800000000002"/>
  </r>
  <r>
    <s v="ORD200408"/>
    <x v="341"/>
    <x v="408"/>
    <x v="4"/>
    <n v="3"/>
    <n v="412.53"/>
    <s v="536 Main St"/>
    <x v="1"/>
    <x v="4"/>
    <s v="TRK31140158"/>
    <n v="6"/>
    <s v="WINTER15"/>
    <x v="4"/>
    <n v="1237.5899999999999"/>
  </r>
  <r>
    <s v="ORD200409"/>
    <x v="342"/>
    <x v="409"/>
    <x v="6"/>
    <n v="5"/>
    <n v="84.13"/>
    <s v="767 Main St"/>
    <x v="1"/>
    <x v="3"/>
    <s v="TRK12320793"/>
    <n v="9"/>
    <s v="SAVE10"/>
    <x v="4"/>
    <n v="420.65"/>
  </r>
  <r>
    <s v="ORD200410"/>
    <x v="343"/>
    <x v="410"/>
    <x v="2"/>
    <n v="2"/>
    <n v="518.23"/>
    <s v="184 Main St"/>
    <x v="0"/>
    <x v="0"/>
    <s v="TRK52470162"/>
    <n v="5"/>
    <s v="None"/>
    <x v="2"/>
    <n v="1036.46"/>
  </r>
  <r>
    <s v="ORD200411"/>
    <x v="83"/>
    <x v="411"/>
    <x v="6"/>
    <n v="2"/>
    <n v="39.51"/>
    <s v="981 Main St"/>
    <x v="1"/>
    <x v="0"/>
    <s v="TRK21174822"/>
    <n v="5"/>
    <s v="None"/>
    <x v="3"/>
    <n v="79.02"/>
  </r>
  <r>
    <s v="ORD200412"/>
    <x v="344"/>
    <x v="412"/>
    <x v="2"/>
    <n v="5"/>
    <n v="133.01"/>
    <s v="246 Main St"/>
    <x v="2"/>
    <x v="2"/>
    <s v="TRK31313343"/>
    <n v="10"/>
    <s v="None"/>
    <x v="3"/>
    <n v="665.05"/>
  </r>
  <r>
    <s v="ORD200413"/>
    <x v="345"/>
    <x v="413"/>
    <x v="2"/>
    <n v="1"/>
    <n v="118.8"/>
    <s v="123 Main St"/>
    <x v="1"/>
    <x v="3"/>
    <s v="TRK87598790"/>
    <n v="6"/>
    <s v="SAVE10"/>
    <x v="2"/>
    <n v="118.8"/>
  </r>
  <r>
    <s v="ORD200414"/>
    <x v="346"/>
    <x v="414"/>
    <x v="6"/>
    <n v="2"/>
    <n v="139.57"/>
    <s v="797 Main St"/>
    <x v="4"/>
    <x v="3"/>
    <s v="TRK84229257"/>
    <n v="4"/>
    <s v="WINTER15"/>
    <x v="3"/>
    <n v="279.14"/>
  </r>
  <r>
    <s v="ORD200415"/>
    <x v="161"/>
    <x v="415"/>
    <x v="3"/>
    <n v="1"/>
    <n v="184.15"/>
    <s v="655 Main St"/>
    <x v="3"/>
    <x v="0"/>
    <s v="TRK64558985"/>
    <n v="5"/>
    <s v="FREESHIP"/>
    <x v="3"/>
    <n v="184.15"/>
  </r>
  <r>
    <s v="ORD200416"/>
    <x v="202"/>
    <x v="416"/>
    <x v="5"/>
    <n v="2"/>
    <n v="644.04999999999995"/>
    <s v="652 Main St"/>
    <x v="3"/>
    <x v="1"/>
    <s v="TRK26263902"/>
    <n v="5"/>
    <s v="WINTER15"/>
    <x v="1"/>
    <n v="1288.0999999999999"/>
  </r>
  <r>
    <s v="ORD200417"/>
    <x v="347"/>
    <x v="417"/>
    <x v="5"/>
    <n v="5"/>
    <n v="55.41"/>
    <s v="954 Main St"/>
    <x v="1"/>
    <x v="1"/>
    <s v="TRK51429869"/>
    <n v="5"/>
    <s v="None"/>
    <x v="4"/>
    <n v="277.04999999999995"/>
  </r>
  <r>
    <s v="ORD200418"/>
    <x v="348"/>
    <x v="418"/>
    <x v="4"/>
    <n v="1"/>
    <n v="310.93"/>
    <s v="862 Main St"/>
    <x v="1"/>
    <x v="1"/>
    <s v="TRK66144809"/>
    <n v="3"/>
    <s v="None"/>
    <x v="3"/>
    <n v="310.93"/>
  </r>
  <r>
    <s v="ORD200419"/>
    <x v="349"/>
    <x v="419"/>
    <x v="2"/>
    <n v="2"/>
    <n v="216.66"/>
    <s v="885 Main St"/>
    <x v="0"/>
    <x v="4"/>
    <s v="TRK75644156"/>
    <n v="6"/>
    <s v="FREESHIP"/>
    <x v="0"/>
    <n v="433.32"/>
  </r>
  <r>
    <s v="ORD200420"/>
    <x v="350"/>
    <x v="420"/>
    <x v="1"/>
    <n v="1"/>
    <n v="452.7"/>
    <s v="439 Main St"/>
    <x v="0"/>
    <x v="0"/>
    <s v="TRK91362635"/>
    <n v="5"/>
    <s v="FREESHIP"/>
    <x v="0"/>
    <n v="452.7"/>
  </r>
  <r>
    <s v="ORD200421"/>
    <x v="3"/>
    <x v="421"/>
    <x v="3"/>
    <n v="2"/>
    <n v="288.20999999999998"/>
    <s v="769 Main St"/>
    <x v="0"/>
    <x v="1"/>
    <s v="TRK53032122"/>
    <n v="5"/>
    <s v="None"/>
    <x v="2"/>
    <n v="576.41999999999996"/>
  </r>
  <r>
    <s v="ORD200422"/>
    <x v="32"/>
    <x v="422"/>
    <x v="1"/>
    <n v="4"/>
    <n v="206.6"/>
    <s v="914 Main St"/>
    <x v="3"/>
    <x v="2"/>
    <s v="TRK25861469"/>
    <n v="6"/>
    <s v="WINTER15"/>
    <x v="1"/>
    <n v="826.4"/>
  </r>
  <r>
    <s v="ORD200423"/>
    <x v="351"/>
    <x v="423"/>
    <x v="4"/>
    <n v="4"/>
    <n v="685.2"/>
    <s v="195 Main St"/>
    <x v="3"/>
    <x v="1"/>
    <s v="TRK97308771"/>
    <n v="6"/>
    <s v="WINTER15"/>
    <x v="4"/>
    <n v="2740.8"/>
  </r>
  <r>
    <s v="ORD200424"/>
    <x v="352"/>
    <x v="424"/>
    <x v="3"/>
    <n v="5"/>
    <n v="22.94"/>
    <s v="339 Main St"/>
    <x v="4"/>
    <x v="4"/>
    <s v="TRK64012257"/>
    <n v="10"/>
    <s v="None"/>
    <x v="2"/>
    <n v="114.7"/>
  </r>
  <r>
    <s v="ORD200425"/>
    <x v="338"/>
    <x v="425"/>
    <x v="5"/>
    <n v="2"/>
    <n v="301.88"/>
    <s v="488 Main St"/>
    <x v="3"/>
    <x v="2"/>
    <s v="TRK25325993"/>
    <n v="5"/>
    <s v="WINTER15"/>
    <x v="2"/>
    <n v="603.76"/>
  </r>
  <r>
    <s v="ORD200426"/>
    <x v="353"/>
    <x v="426"/>
    <x v="0"/>
    <n v="5"/>
    <n v="57.45"/>
    <s v="315 Main St"/>
    <x v="4"/>
    <x v="1"/>
    <s v="TRK24839296"/>
    <n v="10"/>
    <s v="None"/>
    <x v="3"/>
    <n v="287.25"/>
  </r>
  <r>
    <s v="ORD200427"/>
    <x v="144"/>
    <x v="427"/>
    <x v="6"/>
    <n v="1"/>
    <n v="161.24"/>
    <s v="379 Main St"/>
    <x v="2"/>
    <x v="4"/>
    <s v="TRK70952564"/>
    <n v="3"/>
    <s v="WINTER15"/>
    <x v="0"/>
    <n v="161.24"/>
  </r>
  <r>
    <s v="ORD200428"/>
    <x v="130"/>
    <x v="428"/>
    <x v="3"/>
    <n v="4"/>
    <n v="262.58"/>
    <s v="895 Main St"/>
    <x v="1"/>
    <x v="1"/>
    <s v="TRK57227640"/>
    <n v="8"/>
    <s v="WINTER15"/>
    <x v="2"/>
    <n v="1050.32"/>
  </r>
  <r>
    <s v="ORD200429"/>
    <x v="36"/>
    <x v="429"/>
    <x v="4"/>
    <n v="4"/>
    <n v="515.19000000000005"/>
    <s v="522 Main St"/>
    <x v="2"/>
    <x v="4"/>
    <s v="TRK90838498"/>
    <n v="9"/>
    <s v="SAVE10"/>
    <x v="3"/>
    <n v="2060.7600000000002"/>
  </r>
  <r>
    <s v="ORD200430"/>
    <x v="323"/>
    <x v="430"/>
    <x v="1"/>
    <n v="1"/>
    <n v="450.07"/>
    <s v="433 Main St"/>
    <x v="3"/>
    <x v="0"/>
    <s v="TRK44134016"/>
    <n v="6"/>
    <s v="FREESHIP"/>
    <x v="4"/>
    <n v="450.07"/>
  </r>
  <r>
    <s v="ORD200431"/>
    <x v="354"/>
    <x v="431"/>
    <x v="4"/>
    <n v="1"/>
    <n v="52.54"/>
    <s v="651 Main St"/>
    <x v="0"/>
    <x v="1"/>
    <s v="TRK59623037"/>
    <n v="6"/>
    <s v="WINTER15"/>
    <x v="3"/>
    <n v="52.54"/>
  </r>
  <r>
    <s v="ORD200432"/>
    <x v="355"/>
    <x v="432"/>
    <x v="2"/>
    <n v="2"/>
    <n v="424.32"/>
    <s v="662 Main St"/>
    <x v="2"/>
    <x v="2"/>
    <s v="TRK77163738"/>
    <n v="6"/>
    <s v="None"/>
    <x v="1"/>
    <n v="848.64"/>
  </r>
  <r>
    <s v="ORD200433"/>
    <x v="46"/>
    <x v="433"/>
    <x v="0"/>
    <n v="3"/>
    <n v="631.64"/>
    <s v="785 Main St"/>
    <x v="2"/>
    <x v="2"/>
    <s v="TRK13282106"/>
    <n v="3"/>
    <s v="FREESHIP"/>
    <x v="3"/>
    <n v="1894.92"/>
  </r>
  <r>
    <s v="ORD200434"/>
    <x v="356"/>
    <x v="434"/>
    <x v="4"/>
    <n v="5"/>
    <n v="327.68"/>
    <s v="384 Main St"/>
    <x v="2"/>
    <x v="2"/>
    <s v="TRK85939879"/>
    <n v="6"/>
    <s v="None"/>
    <x v="3"/>
    <n v="1638.4"/>
  </r>
  <r>
    <s v="ORD200435"/>
    <x v="156"/>
    <x v="435"/>
    <x v="4"/>
    <n v="1"/>
    <n v="414.47"/>
    <s v="101 Main St"/>
    <x v="0"/>
    <x v="2"/>
    <s v="TRK97868309"/>
    <n v="3"/>
    <s v="FREESHIP"/>
    <x v="0"/>
    <n v="414.47"/>
  </r>
  <r>
    <s v="ORD200436"/>
    <x v="91"/>
    <x v="436"/>
    <x v="5"/>
    <n v="4"/>
    <n v="221.33"/>
    <s v="651 Main St"/>
    <x v="1"/>
    <x v="4"/>
    <s v="TRK73545796"/>
    <n v="5"/>
    <s v="None"/>
    <x v="4"/>
    <n v="885.32"/>
  </r>
  <r>
    <s v="ORD200437"/>
    <x v="171"/>
    <x v="437"/>
    <x v="1"/>
    <n v="1"/>
    <n v="512.39"/>
    <s v="955 Main St"/>
    <x v="1"/>
    <x v="3"/>
    <s v="TRK20863705"/>
    <n v="2"/>
    <s v="FREESHIP"/>
    <x v="0"/>
    <n v="512.39"/>
  </r>
  <r>
    <s v="ORD200438"/>
    <x v="195"/>
    <x v="438"/>
    <x v="2"/>
    <n v="3"/>
    <n v="459.34"/>
    <s v="436 Main St"/>
    <x v="3"/>
    <x v="4"/>
    <s v="TRK27439574"/>
    <n v="3"/>
    <s v="SAVE10"/>
    <x v="0"/>
    <n v="1378.02"/>
  </r>
  <r>
    <s v="ORD200439"/>
    <x v="50"/>
    <x v="439"/>
    <x v="2"/>
    <n v="1"/>
    <n v="146.32"/>
    <s v="321 Main St"/>
    <x v="1"/>
    <x v="0"/>
    <s v="TRK36260319"/>
    <n v="4"/>
    <s v="WINTER15"/>
    <x v="3"/>
    <n v="146.32"/>
  </r>
  <r>
    <s v="ORD200440"/>
    <x v="357"/>
    <x v="440"/>
    <x v="6"/>
    <n v="4"/>
    <n v="83.6"/>
    <s v="978 Main St"/>
    <x v="0"/>
    <x v="4"/>
    <s v="TRK31727767"/>
    <n v="4"/>
    <s v="SAVE10"/>
    <x v="3"/>
    <n v="334.4"/>
  </r>
  <r>
    <s v="ORD200441"/>
    <x v="141"/>
    <x v="441"/>
    <x v="4"/>
    <n v="2"/>
    <n v="328.54"/>
    <s v="475 Main St"/>
    <x v="3"/>
    <x v="2"/>
    <s v="TRK79466982"/>
    <n v="6"/>
    <s v="FREESHIP"/>
    <x v="2"/>
    <n v="657.08"/>
  </r>
  <r>
    <s v="ORD200442"/>
    <x v="40"/>
    <x v="442"/>
    <x v="3"/>
    <n v="5"/>
    <n v="314.94"/>
    <s v="661 Main St"/>
    <x v="4"/>
    <x v="4"/>
    <s v="TRK43410829"/>
    <n v="8"/>
    <s v="SAVE10"/>
    <x v="0"/>
    <n v="1574.7"/>
  </r>
  <r>
    <s v="ORD200443"/>
    <x v="358"/>
    <x v="443"/>
    <x v="3"/>
    <n v="2"/>
    <n v="69.64"/>
    <s v="813 Main St"/>
    <x v="4"/>
    <x v="2"/>
    <s v="TRK58970302"/>
    <n v="6"/>
    <s v="None"/>
    <x v="3"/>
    <n v="139.28"/>
  </r>
  <r>
    <s v="ORD200444"/>
    <x v="180"/>
    <x v="444"/>
    <x v="4"/>
    <n v="1"/>
    <n v="135.16999999999999"/>
    <s v="585 Main St"/>
    <x v="1"/>
    <x v="0"/>
    <s v="TRK61882353"/>
    <n v="6"/>
    <s v="FREESHIP"/>
    <x v="0"/>
    <n v="135.16999999999999"/>
  </r>
  <r>
    <s v="ORD200445"/>
    <x v="230"/>
    <x v="445"/>
    <x v="1"/>
    <n v="1"/>
    <n v="487.21"/>
    <s v="227 Main St"/>
    <x v="4"/>
    <x v="3"/>
    <s v="TRK31351770"/>
    <n v="3"/>
    <s v="SAVE10"/>
    <x v="1"/>
    <n v="487.21"/>
  </r>
  <r>
    <s v="ORD200446"/>
    <x v="359"/>
    <x v="446"/>
    <x v="5"/>
    <n v="5"/>
    <n v="509.58"/>
    <s v="262 Main St"/>
    <x v="1"/>
    <x v="3"/>
    <s v="TRK49442402"/>
    <n v="6"/>
    <s v="FREESHIP"/>
    <x v="0"/>
    <n v="2547.9"/>
  </r>
  <r>
    <s v="ORD200447"/>
    <x v="158"/>
    <x v="447"/>
    <x v="4"/>
    <n v="2"/>
    <n v="416.81"/>
    <s v="356 Main St"/>
    <x v="4"/>
    <x v="2"/>
    <s v="TRK45355655"/>
    <n v="2"/>
    <s v="None"/>
    <x v="3"/>
    <n v="833.62"/>
  </r>
  <r>
    <s v="ORD200448"/>
    <x v="355"/>
    <x v="448"/>
    <x v="5"/>
    <n v="2"/>
    <n v="160"/>
    <s v="854 Main St"/>
    <x v="4"/>
    <x v="4"/>
    <s v="TRK12860600"/>
    <n v="4"/>
    <s v="SAVE10"/>
    <x v="0"/>
    <n v="320"/>
  </r>
  <r>
    <s v="ORD200449"/>
    <x v="360"/>
    <x v="449"/>
    <x v="2"/>
    <n v="3"/>
    <n v="253.05"/>
    <s v="286 Main St"/>
    <x v="1"/>
    <x v="4"/>
    <s v="TRK48688724"/>
    <n v="3"/>
    <s v="None"/>
    <x v="0"/>
    <n v="759.15000000000009"/>
  </r>
  <r>
    <s v="ORD200450"/>
    <x v="361"/>
    <x v="450"/>
    <x v="0"/>
    <n v="5"/>
    <n v="615.1"/>
    <s v="160 Main St"/>
    <x v="3"/>
    <x v="2"/>
    <s v="TRK94023253"/>
    <n v="10"/>
    <s v="WINTER15"/>
    <x v="0"/>
    <n v="3075.5"/>
  </r>
  <r>
    <s v="ORD200451"/>
    <x v="362"/>
    <x v="451"/>
    <x v="0"/>
    <n v="1"/>
    <n v="183.18"/>
    <s v="647 Main St"/>
    <x v="0"/>
    <x v="1"/>
    <s v="TRK17501136"/>
    <n v="6"/>
    <s v="SAVE10"/>
    <x v="2"/>
    <n v="183.18"/>
  </r>
  <r>
    <s v="ORD200452"/>
    <x v="363"/>
    <x v="452"/>
    <x v="4"/>
    <n v="1"/>
    <n v="75.78"/>
    <s v="581 Main St"/>
    <x v="4"/>
    <x v="4"/>
    <s v="TRK20863987"/>
    <n v="5"/>
    <s v="SAVE10"/>
    <x v="4"/>
    <n v="75.78"/>
  </r>
  <r>
    <s v="ORD200453"/>
    <x v="201"/>
    <x v="453"/>
    <x v="2"/>
    <n v="1"/>
    <n v="675.57"/>
    <s v="492 Main St"/>
    <x v="4"/>
    <x v="0"/>
    <s v="TRK51241924"/>
    <n v="1"/>
    <s v="WINTER15"/>
    <x v="3"/>
    <n v="675.57"/>
  </r>
  <r>
    <s v="ORD200454"/>
    <x v="364"/>
    <x v="454"/>
    <x v="5"/>
    <n v="1"/>
    <n v="109.29"/>
    <s v="686 Main St"/>
    <x v="0"/>
    <x v="1"/>
    <s v="TRK75583042"/>
    <n v="5"/>
    <s v="FREESHIP"/>
    <x v="4"/>
    <n v="109.29"/>
  </r>
  <r>
    <s v="ORD200455"/>
    <x v="290"/>
    <x v="455"/>
    <x v="1"/>
    <n v="1"/>
    <n v="639.83000000000004"/>
    <s v="874 Main St"/>
    <x v="0"/>
    <x v="4"/>
    <s v="TRK32856728"/>
    <n v="2"/>
    <s v="SAVE10"/>
    <x v="1"/>
    <n v="639.83000000000004"/>
  </r>
  <r>
    <s v="ORD200456"/>
    <x v="365"/>
    <x v="456"/>
    <x v="6"/>
    <n v="5"/>
    <n v="62.81"/>
    <s v="259 Main St"/>
    <x v="2"/>
    <x v="0"/>
    <s v="TRK69089975"/>
    <n v="9"/>
    <s v="SAVE10"/>
    <x v="3"/>
    <n v="314.05"/>
  </r>
  <r>
    <s v="ORD200457"/>
    <x v="366"/>
    <x v="457"/>
    <x v="6"/>
    <n v="4"/>
    <n v="615.83000000000004"/>
    <s v="545 Main St"/>
    <x v="1"/>
    <x v="2"/>
    <s v="TRK67692578"/>
    <n v="4"/>
    <s v="WINTER15"/>
    <x v="0"/>
    <n v="2463.3200000000002"/>
  </r>
  <r>
    <s v="ORD200458"/>
    <x v="367"/>
    <x v="458"/>
    <x v="0"/>
    <n v="4"/>
    <n v="510.58"/>
    <s v="196 Main St"/>
    <x v="2"/>
    <x v="2"/>
    <s v="TRK61946127"/>
    <n v="7"/>
    <s v="WINTER15"/>
    <x v="2"/>
    <n v="2042.32"/>
  </r>
  <r>
    <s v="ORD200459"/>
    <x v="25"/>
    <x v="459"/>
    <x v="6"/>
    <n v="1"/>
    <n v="334.39"/>
    <s v="433 Main St"/>
    <x v="2"/>
    <x v="2"/>
    <s v="TRK39717191"/>
    <n v="2"/>
    <s v="None"/>
    <x v="0"/>
    <n v="334.39"/>
  </r>
  <r>
    <s v="ORD200460"/>
    <x v="354"/>
    <x v="460"/>
    <x v="5"/>
    <n v="1"/>
    <n v="144.25"/>
    <s v="474 Main St"/>
    <x v="4"/>
    <x v="2"/>
    <s v="TRK93822942"/>
    <n v="2"/>
    <s v="WINTER15"/>
    <x v="1"/>
    <n v="144.25"/>
  </r>
  <r>
    <s v="ORD200461"/>
    <x v="180"/>
    <x v="461"/>
    <x v="2"/>
    <n v="1"/>
    <n v="401.82"/>
    <s v="407 Main St"/>
    <x v="2"/>
    <x v="0"/>
    <s v="TRK47776482"/>
    <n v="5"/>
    <s v="FREESHIP"/>
    <x v="4"/>
    <n v="401.82"/>
  </r>
  <r>
    <s v="ORD200462"/>
    <x v="368"/>
    <x v="462"/>
    <x v="1"/>
    <n v="1"/>
    <n v="252.68"/>
    <s v="731 Main St"/>
    <x v="1"/>
    <x v="1"/>
    <s v="TRK32796086"/>
    <n v="1"/>
    <s v="None"/>
    <x v="1"/>
    <n v="252.68"/>
  </r>
  <r>
    <s v="ORD200463"/>
    <x v="68"/>
    <x v="463"/>
    <x v="5"/>
    <n v="5"/>
    <n v="662.78"/>
    <s v="214 Main St"/>
    <x v="0"/>
    <x v="0"/>
    <s v="TRK14011732"/>
    <n v="9"/>
    <s v="SAVE10"/>
    <x v="0"/>
    <n v="3313.8999999999996"/>
  </r>
  <r>
    <s v="ORD200464"/>
    <x v="369"/>
    <x v="464"/>
    <x v="2"/>
    <n v="4"/>
    <n v="434.42"/>
    <s v="739 Main St"/>
    <x v="1"/>
    <x v="1"/>
    <s v="TRK71418686"/>
    <n v="6"/>
    <s v="FREESHIP"/>
    <x v="4"/>
    <n v="1737.68"/>
  </r>
  <r>
    <s v="ORD200465"/>
    <x v="235"/>
    <x v="465"/>
    <x v="4"/>
    <n v="5"/>
    <n v="513.49"/>
    <s v="391 Main St"/>
    <x v="3"/>
    <x v="1"/>
    <s v="TRK65438300"/>
    <n v="8"/>
    <s v="None"/>
    <x v="4"/>
    <n v="2567.4499999999998"/>
  </r>
  <r>
    <s v="ORD200466"/>
    <x v="202"/>
    <x v="466"/>
    <x v="1"/>
    <n v="1"/>
    <n v="432.47"/>
    <s v="895 Main St"/>
    <x v="4"/>
    <x v="3"/>
    <s v="TRK97829604"/>
    <n v="4"/>
    <s v="FREESHIP"/>
    <x v="1"/>
    <n v="432.47"/>
  </r>
  <r>
    <s v="ORD200467"/>
    <x v="225"/>
    <x v="467"/>
    <x v="6"/>
    <n v="1"/>
    <n v="45.94"/>
    <s v="572 Main St"/>
    <x v="4"/>
    <x v="1"/>
    <s v="TRK44350440"/>
    <n v="2"/>
    <s v="WINTER15"/>
    <x v="2"/>
    <n v="45.94"/>
  </r>
  <r>
    <s v="ORD200468"/>
    <x v="370"/>
    <x v="468"/>
    <x v="1"/>
    <n v="1"/>
    <n v="418.36"/>
    <s v="998 Main St"/>
    <x v="2"/>
    <x v="3"/>
    <s v="TRK60203957"/>
    <n v="5"/>
    <s v="FREESHIP"/>
    <x v="2"/>
    <n v="418.36"/>
  </r>
  <r>
    <s v="ORD200469"/>
    <x v="371"/>
    <x v="469"/>
    <x v="3"/>
    <n v="5"/>
    <n v="676.98"/>
    <s v="893 Main St"/>
    <x v="4"/>
    <x v="1"/>
    <s v="TRK17254691"/>
    <n v="5"/>
    <s v="None"/>
    <x v="3"/>
    <n v="3384.9"/>
  </r>
  <r>
    <s v="ORD200470"/>
    <x v="372"/>
    <x v="470"/>
    <x v="2"/>
    <n v="4"/>
    <n v="263.62"/>
    <s v="672 Main St"/>
    <x v="4"/>
    <x v="0"/>
    <s v="TRK33538608"/>
    <n v="5"/>
    <s v="SAVE10"/>
    <x v="2"/>
    <n v="1054.48"/>
  </r>
  <r>
    <s v="ORD200471"/>
    <x v="373"/>
    <x v="471"/>
    <x v="6"/>
    <n v="5"/>
    <n v="551.27"/>
    <s v="395 Main St"/>
    <x v="1"/>
    <x v="1"/>
    <s v="TRK27625571"/>
    <n v="7"/>
    <s v="FREESHIP"/>
    <x v="1"/>
    <n v="2756.35"/>
  </r>
  <r>
    <s v="ORD200472"/>
    <x v="374"/>
    <x v="472"/>
    <x v="3"/>
    <n v="3"/>
    <n v="508.12"/>
    <s v="796 Main St"/>
    <x v="2"/>
    <x v="1"/>
    <s v="TRK86461316"/>
    <n v="8"/>
    <s v="FREESHIP"/>
    <x v="1"/>
    <n v="1524.3600000000001"/>
  </r>
  <r>
    <s v="ORD200473"/>
    <x v="86"/>
    <x v="473"/>
    <x v="3"/>
    <n v="2"/>
    <n v="14.93"/>
    <s v="449 Main St"/>
    <x v="1"/>
    <x v="0"/>
    <s v="TRK71597160"/>
    <n v="4"/>
    <s v="None"/>
    <x v="3"/>
    <n v="29.86"/>
  </r>
  <r>
    <s v="ORD200474"/>
    <x v="375"/>
    <x v="474"/>
    <x v="4"/>
    <n v="3"/>
    <n v="229.34"/>
    <s v="398 Main St"/>
    <x v="2"/>
    <x v="0"/>
    <s v="TRK84378003"/>
    <n v="6"/>
    <s v="SAVE10"/>
    <x v="1"/>
    <n v="688.02"/>
  </r>
  <r>
    <s v="ORD200475"/>
    <x v="373"/>
    <x v="475"/>
    <x v="2"/>
    <n v="2"/>
    <n v="438.62"/>
    <s v="363 Main St"/>
    <x v="4"/>
    <x v="1"/>
    <s v="TRK91642337"/>
    <n v="3"/>
    <s v="SAVE10"/>
    <x v="3"/>
    <n v="877.24"/>
  </r>
  <r>
    <s v="ORD200476"/>
    <x v="361"/>
    <x v="476"/>
    <x v="1"/>
    <n v="2"/>
    <n v="513.59"/>
    <s v="867 Main St"/>
    <x v="1"/>
    <x v="2"/>
    <s v="TRK19292184"/>
    <n v="4"/>
    <s v="FREESHIP"/>
    <x v="1"/>
    <n v="1027.18"/>
  </r>
  <r>
    <s v="ORD200477"/>
    <x v="376"/>
    <x v="477"/>
    <x v="1"/>
    <n v="2"/>
    <n v="253.74"/>
    <s v="481 Main St"/>
    <x v="1"/>
    <x v="0"/>
    <s v="TRK13166044"/>
    <n v="5"/>
    <s v="SAVE10"/>
    <x v="4"/>
    <n v="507.48"/>
  </r>
  <r>
    <s v="ORD200478"/>
    <x v="377"/>
    <x v="478"/>
    <x v="2"/>
    <n v="3"/>
    <n v="62.77"/>
    <s v="914 Main St"/>
    <x v="3"/>
    <x v="0"/>
    <s v="TRK88544431"/>
    <n v="6"/>
    <s v="FREESHIP"/>
    <x v="1"/>
    <n v="188.31"/>
  </r>
  <r>
    <s v="ORD200479"/>
    <x v="378"/>
    <x v="479"/>
    <x v="0"/>
    <n v="4"/>
    <n v="25.29"/>
    <s v="943 Main St"/>
    <x v="2"/>
    <x v="4"/>
    <s v="TRK21429162"/>
    <n v="8"/>
    <s v="None"/>
    <x v="4"/>
    <n v="101.16"/>
  </r>
  <r>
    <s v="ORD200480"/>
    <x v="379"/>
    <x v="480"/>
    <x v="3"/>
    <n v="1"/>
    <n v="335.1"/>
    <s v="126 Main St"/>
    <x v="0"/>
    <x v="4"/>
    <s v="TRK93171043"/>
    <n v="6"/>
    <s v="FREESHIP"/>
    <x v="1"/>
    <n v="335.1"/>
  </r>
  <r>
    <s v="ORD200481"/>
    <x v="295"/>
    <x v="481"/>
    <x v="5"/>
    <n v="4"/>
    <n v="484.85"/>
    <s v="317 Main St"/>
    <x v="0"/>
    <x v="3"/>
    <s v="TRK58653915"/>
    <n v="5"/>
    <s v="WINTER15"/>
    <x v="1"/>
    <n v="1939.4"/>
  </r>
  <r>
    <s v="ORD200482"/>
    <x v="380"/>
    <x v="482"/>
    <x v="0"/>
    <n v="3"/>
    <n v="381.41"/>
    <s v="989 Main St"/>
    <x v="1"/>
    <x v="4"/>
    <s v="TRK22302049"/>
    <n v="6"/>
    <s v="None"/>
    <x v="0"/>
    <n v="1144.23"/>
  </r>
  <r>
    <s v="ORD200483"/>
    <x v="381"/>
    <x v="483"/>
    <x v="1"/>
    <n v="5"/>
    <n v="347.92"/>
    <s v="982 Main St"/>
    <x v="4"/>
    <x v="4"/>
    <s v="TRK52743700"/>
    <n v="6"/>
    <s v="WINTER15"/>
    <x v="4"/>
    <n v="1739.6000000000001"/>
  </r>
  <r>
    <s v="ORD200484"/>
    <x v="382"/>
    <x v="484"/>
    <x v="3"/>
    <n v="4"/>
    <n v="15.01"/>
    <s v="767 Main St"/>
    <x v="4"/>
    <x v="1"/>
    <s v="TRK90455340"/>
    <n v="6"/>
    <s v="None"/>
    <x v="3"/>
    <n v="60.04"/>
  </r>
  <r>
    <s v="ORD200485"/>
    <x v="383"/>
    <x v="485"/>
    <x v="3"/>
    <n v="3"/>
    <n v="404.79"/>
    <s v="764 Main St"/>
    <x v="4"/>
    <x v="0"/>
    <s v="TRK67679195"/>
    <n v="6"/>
    <s v="SAVE10"/>
    <x v="0"/>
    <n v="1214.3700000000001"/>
  </r>
  <r>
    <s v="ORD200486"/>
    <x v="384"/>
    <x v="486"/>
    <x v="4"/>
    <n v="4"/>
    <n v="611.26"/>
    <s v="558 Main St"/>
    <x v="4"/>
    <x v="0"/>
    <s v="TRK75267873"/>
    <n v="5"/>
    <s v="SAVE10"/>
    <x v="1"/>
    <n v="2445.04"/>
  </r>
  <r>
    <s v="ORD200487"/>
    <x v="338"/>
    <x v="487"/>
    <x v="4"/>
    <n v="3"/>
    <n v="346.52"/>
    <s v="211 Main St"/>
    <x v="2"/>
    <x v="4"/>
    <s v="TRK92924852"/>
    <n v="3"/>
    <s v="SAVE10"/>
    <x v="4"/>
    <n v="1039.56"/>
  </r>
  <r>
    <s v="ORD200488"/>
    <x v="194"/>
    <x v="488"/>
    <x v="3"/>
    <n v="1"/>
    <n v="36.65"/>
    <s v="556 Main St"/>
    <x v="1"/>
    <x v="1"/>
    <s v="TRK96522994"/>
    <n v="1"/>
    <s v="WINTER15"/>
    <x v="2"/>
    <n v="36.65"/>
  </r>
  <r>
    <s v="ORD200489"/>
    <x v="189"/>
    <x v="489"/>
    <x v="2"/>
    <n v="3"/>
    <n v="149.34"/>
    <s v="589 Main St"/>
    <x v="3"/>
    <x v="1"/>
    <s v="TRK85466461"/>
    <n v="7"/>
    <s v="WINTER15"/>
    <x v="2"/>
    <n v="448.02"/>
  </r>
  <r>
    <s v="ORD200490"/>
    <x v="319"/>
    <x v="490"/>
    <x v="3"/>
    <n v="5"/>
    <n v="467.81"/>
    <s v="539 Main St"/>
    <x v="1"/>
    <x v="1"/>
    <s v="TRK62785150"/>
    <n v="10"/>
    <s v="None"/>
    <x v="3"/>
    <n v="2339.0500000000002"/>
  </r>
  <r>
    <s v="ORD200491"/>
    <x v="314"/>
    <x v="491"/>
    <x v="1"/>
    <n v="5"/>
    <n v="420.7"/>
    <s v="481 Main St"/>
    <x v="4"/>
    <x v="4"/>
    <s v="TRK56423359"/>
    <n v="5"/>
    <s v="WINTER15"/>
    <x v="3"/>
    <n v="2103.5"/>
  </r>
  <r>
    <s v="ORD200492"/>
    <x v="385"/>
    <x v="492"/>
    <x v="5"/>
    <n v="5"/>
    <n v="606.52"/>
    <s v="103 Main St"/>
    <x v="0"/>
    <x v="0"/>
    <s v="TRK13027036"/>
    <n v="6"/>
    <s v="SAVE10"/>
    <x v="0"/>
    <n v="3032.6"/>
  </r>
  <r>
    <s v="ORD200493"/>
    <x v="386"/>
    <x v="493"/>
    <x v="1"/>
    <n v="1"/>
    <n v="420.26"/>
    <s v="372 Main St"/>
    <x v="2"/>
    <x v="4"/>
    <s v="TRK64135970"/>
    <n v="4"/>
    <s v="FREESHIP"/>
    <x v="3"/>
    <n v="420.26"/>
  </r>
  <r>
    <s v="ORD200494"/>
    <x v="45"/>
    <x v="494"/>
    <x v="5"/>
    <n v="3"/>
    <n v="505.79"/>
    <s v="459 Main St"/>
    <x v="0"/>
    <x v="4"/>
    <s v="TRK63920573"/>
    <n v="3"/>
    <s v="FREESHIP"/>
    <x v="1"/>
    <n v="1517.3700000000001"/>
  </r>
  <r>
    <s v="ORD200495"/>
    <x v="85"/>
    <x v="495"/>
    <x v="1"/>
    <n v="4"/>
    <n v="493.73"/>
    <s v="947 Main St"/>
    <x v="0"/>
    <x v="4"/>
    <s v="TRK35730581"/>
    <n v="6"/>
    <s v="SAVE10"/>
    <x v="3"/>
    <n v="1974.92"/>
  </r>
  <r>
    <s v="ORD200496"/>
    <x v="387"/>
    <x v="496"/>
    <x v="4"/>
    <n v="3"/>
    <n v="201.21"/>
    <s v="249 Main St"/>
    <x v="1"/>
    <x v="1"/>
    <s v="TRK66129326"/>
    <n v="3"/>
    <s v="SAVE10"/>
    <x v="4"/>
    <n v="603.63"/>
  </r>
  <r>
    <s v="ORD200497"/>
    <x v="101"/>
    <x v="497"/>
    <x v="4"/>
    <n v="3"/>
    <n v="112.29"/>
    <s v="454 Main St"/>
    <x v="3"/>
    <x v="0"/>
    <s v="TRK77358113"/>
    <n v="6"/>
    <s v="None"/>
    <x v="4"/>
    <n v="336.87"/>
  </r>
  <r>
    <s v="ORD200498"/>
    <x v="219"/>
    <x v="498"/>
    <x v="2"/>
    <n v="4"/>
    <n v="132.56"/>
    <s v="306 Main St"/>
    <x v="4"/>
    <x v="2"/>
    <s v="TRK32607173"/>
    <n v="8"/>
    <s v="WINTER15"/>
    <x v="0"/>
    <n v="530.24"/>
  </r>
  <r>
    <s v="ORD200499"/>
    <x v="388"/>
    <x v="499"/>
    <x v="4"/>
    <n v="3"/>
    <n v="539.46"/>
    <s v="520 Main St"/>
    <x v="2"/>
    <x v="0"/>
    <s v="TRK20289483"/>
    <n v="4"/>
    <s v="SAVE10"/>
    <x v="3"/>
    <n v="1618.38"/>
  </r>
  <r>
    <s v="ORD200500"/>
    <x v="158"/>
    <x v="500"/>
    <x v="5"/>
    <n v="5"/>
    <n v="508.59"/>
    <s v="169 Main St"/>
    <x v="4"/>
    <x v="2"/>
    <s v="TRK42168516"/>
    <n v="8"/>
    <s v="WINTER15"/>
    <x v="3"/>
    <n v="2542.9499999999998"/>
  </r>
  <r>
    <s v="ORD200501"/>
    <x v="389"/>
    <x v="501"/>
    <x v="6"/>
    <n v="4"/>
    <n v="203.46"/>
    <s v="226 Main St"/>
    <x v="2"/>
    <x v="4"/>
    <s v="TRK19867754"/>
    <n v="7"/>
    <s v="SAVE10"/>
    <x v="1"/>
    <n v="813.84"/>
  </r>
  <r>
    <s v="ORD200502"/>
    <x v="390"/>
    <x v="502"/>
    <x v="0"/>
    <n v="3"/>
    <n v="565.25"/>
    <s v="745 Main St"/>
    <x v="0"/>
    <x v="2"/>
    <s v="TRK65718848"/>
    <n v="7"/>
    <s v="SAVE10"/>
    <x v="2"/>
    <n v="1695.75"/>
  </r>
  <r>
    <s v="ORD200503"/>
    <x v="303"/>
    <x v="503"/>
    <x v="2"/>
    <n v="3"/>
    <n v="136.84"/>
    <s v="498 Main St"/>
    <x v="1"/>
    <x v="4"/>
    <s v="TRK95384568"/>
    <n v="4"/>
    <s v="FREESHIP"/>
    <x v="3"/>
    <n v="410.52"/>
  </r>
  <r>
    <s v="ORD200504"/>
    <x v="113"/>
    <x v="504"/>
    <x v="0"/>
    <n v="2"/>
    <n v="464.5"/>
    <s v="805 Main St"/>
    <x v="1"/>
    <x v="1"/>
    <s v="TRK35726395"/>
    <n v="2"/>
    <s v="WINTER15"/>
    <x v="0"/>
    <n v="929"/>
  </r>
  <r>
    <s v="ORD200505"/>
    <x v="236"/>
    <x v="505"/>
    <x v="4"/>
    <n v="2"/>
    <n v="434.97"/>
    <s v="558 Main St"/>
    <x v="1"/>
    <x v="0"/>
    <s v="TRK97246526"/>
    <n v="7"/>
    <s v="None"/>
    <x v="2"/>
    <n v="869.94"/>
  </r>
  <r>
    <s v="ORD200506"/>
    <x v="284"/>
    <x v="506"/>
    <x v="0"/>
    <n v="2"/>
    <n v="43.67"/>
    <s v="696 Main St"/>
    <x v="4"/>
    <x v="2"/>
    <s v="TRK58039693"/>
    <n v="4"/>
    <s v="WINTER15"/>
    <x v="0"/>
    <n v="87.34"/>
  </r>
  <r>
    <s v="ORD200507"/>
    <x v="176"/>
    <x v="507"/>
    <x v="1"/>
    <n v="1"/>
    <n v="171.59"/>
    <s v="546 Main St"/>
    <x v="2"/>
    <x v="4"/>
    <s v="TRK87513944"/>
    <n v="5"/>
    <s v="WINTER15"/>
    <x v="2"/>
    <n v="171.59"/>
  </r>
  <r>
    <s v="ORD200508"/>
    <x v="391"/>
    <x v="508"/>
    <x v="1"/>
    <n v="1"/>
    <n v="558.27"/>
    <s v="976 Main St"/>
    <x v="1"/>
    <x v="3"/>
    <s v="TRK24120267"/>
    <n v="1"/>
    <s v="None"/>
    <x v="1"/>
    <n v="558.27"/>
  </r>
  <r>
    <s v="ORD200509"/>
    <x v="392"/>
    <x v="509"/>
    <x v="5"/>
    <n v="2"/>
    <n v="425.03"/>
    <s v="560 Main St"/>
    <x v="4"/>
    <x v="2"/>
    <s v="TRK31908657"/>
    <n v="2"/>
    <s v="WINTER15"/>
    <x v="4"/>
    <n v="850.06"/>
  </r>
  <r>
    <s v="ORD200510"/>
    <x v="393"/>
    <x v="510"/>
    <x v="4"/>
    <n v="1"/>
    <n v="376.76"/>
    <s v="389 Main St"/>
    <x v="0"/>
    <x v="3"/>
    <s v="TRK51288986"/>
    <n v="5"/>
    <s v="SAVE10"/>
    <x v="2"/>
    <n v="376.76"/>
  </r>
  <r>
    <s v="ORD200511"/>
    <x v="394"/>
    <x v="511"/>
    <x v="0"/>
    <n v="5"/>
    <n v="575.24"/>
    <s v="267 Main St"/>
    <x v="4"/>
    <x v="3"/>
    <s v="TRK65061457"/>
    <n v="7"/>
    <s v="WINTER15"/>
    <x v="2"/>
    <n v="2876.2"/>
  </r>
  <r>
    <s v="ORD200512"/>
    <x v="395"/>
    <x v="512"/>
    <x v="6"/>
    <n v="3"/>
    <n v="568.02"/>
    <s v="856 Main St"/>
    <x v="1"/>
    <x v="4"/>
    <s v="TRK63290700"/>
    <n v="3"/>
    <s v="FREESHIP"/>
    <x v="0"/>
    <n v="1704.06"/>
  </r>
  <r>
    <s v="ORD200513"/>
    <x v="396"/>
    <x v="513"/>
    <x v="2"/>
    <n v="3"/>
    <n v="94.88"/>
    <s v="533 Main St"/>
    <x v="3"/>
    <x v="0"/>
    <s v="TRK37053575"/>
    <n v="8"/>
    <s v="None"/>
    <x v="1"/>
    <n v="284.64"/>
  </r>
  <r>
    <s v="ORD200514"/>
    <x v="397"/>
    <x v="514"/>
    <x v="4"/>
    <n v="3"/>
    <n v="304.14999999999998"/>
    <s v="492 Main St"/>
    <x v="3"/>
    <x v="0"/>
    <s v="TRK64926044"/>
    <n v="3"/>
    <s v="WINTER15"/>
    <x v="0"/>
    <n v="912.44999999999993"/>
  </r>
  <r>
    <s v="ORD200515"/>
    <x v="369"/>
    <x v="515"/>
    <x v="1"/>
    <n v="3"/>
    <n v="553.52"/>
    <s v="160 Main St"/>
    <x v="3"/>
    <x v="0"/>
    <s v="TRK75900717"/>
    <n v="4"/>
    <s v="FREESHIP"/>
    <x v="3"/>
    <n v="1660.56"/>
  </r>
  <r>
    <s v="ORD200516"/>
    <x v="158"/>
    <x v="516"/>
    <x v="0"/>
    <n v="3"/>
    <n v="166.99"/>
    <s v="208 Main St"/>
    <x v="4"/>
    <x v="2"/>
    <s v="TRK28855040"/>
    <n v="8"/>
    <s v="None"/>
    <x v="3"/>
    <n v="500.97"/>
  </r>
  <r>
    <s v="ORD200517"/>
    <x v="398"/>
    <x v="517"/>
    <x v="2"/>
    <n v="4"/>
    <n v="198.35"/>
    <s v="943 Main St"/>
    <x v="4"/>
    <x v="1"/>
    <s v="TRK88141634"/>
    <n v="7"/>
    <s v="FREESHIP"/>
    <x v="4"/>
    <n v="793.4"/>
  </r>
  <r>
    <s v="ORD200518"/>
    <x v="399"/>
    <x v="518"/>
    <x v="4"/>
    <n v="4"/>
    <n v="403.58"/>
    <s v="319 Main St"/>
    <x v="1"/>
    <x v="4"/>
    <s v="TRK59807273"/>
    <n v="9"/>
    <s v="SAVE10"/>
    <x v="1"/>
    <n v="1614.32"/>
  </r>
  <r>
    <s v="ORD200519"/>
    <x v="400"/>
    <x v="519"/>
    <x v="5"/>
    <n v="4"/>
    <n v="464.29"/>
    <s v="941 Main St"/>
    <x v="0"/>
    <x v="2"/>
    <s v="TRK66010667"/>
    <n v="5"/>
    <s v="SAVE10"/>
    <x v="2"/>
    <n v="1857.16"/>
  </r>
  <r>
    <s v="ORD200520"/>
    <x v="401"/>
    <x v="520"/>
    <x v="0"/>
    <n v="3"/>
    <n v="635.98"/>
    <s v="959 Main St"/>
    <x v="4"/>
    <x v="2"/>
    <s v="TRK27063398"/>
    <n v="5"/>
    <s v="None"/>
    <x v="1"/>
    <n v="1907.94"/>
  </r>
  <r>
    <s v="ORD200521"/>
    <x v="402"/>
    <x v="521"/>
    <x v="1"/>
    <n v="1"/>
    <n v="528.05999999999995"/>
    <s v="991 Main St"/>
    <x v="2"/>
    <x v="0"/>
    <s v="TRK37534165"/>
    <n v="2"/>
    <s v="None"/>
    <x v="3"/>
    <n v="528.05999999999995"/>
  </r>
  <r>
    <s v="ORD200522"/>
    <x v="322"/>
    <x v="522"/>
    <x v="3"/>
    <n v="1"/>
    <n v="515.32000000000005"/>
    <s v="740 Main St"/>
    <x v="3"/>
    <x v="1"/>
    <s v="TRK82843861"/>
    <n v="1"/>
    <s v="FREESHIP"/>
    <x v="2"/>
    <n v="515.32000000000005"/>
  </r>
  <r>
    <s v="ORD200523"/>
    <x v="403"/>
    <x v="523"/>
    <x v="6"/>
    <n v="4"/>
    <n v="657.79"/>
    <s v="652 Main St"/>
    <x v="2"/>
    <x v="2"/>
    <s v="TRK60937148"/>
    <n v="6"/>
    <s v="WINTER15"/>
    <x v="4"/>
    <n v="2631.16"/>
  </r>
  <r>
    <s v="ORD200524"/>
    <x v="385"/>
    <x v="524"/>
    <x v="1"/>
    <n v="1"/>
    <n v="153"/>
    <s v="103 Main St"/>
    <x v="2"/>
    <x v="2"/>
    <s v="TRK92617366"/>
    <n v="4"/>
    <s v="None"/>
    <x v="1"/>
    <n v="153"/>
  </r>
  <r>
    <s v="ORD200525"/>
    <x v="404"/>
    <x v="525"/>
    <x v="0"/>
    <n v="1"/>
    <n v="668.48"/>
    <s v="160 Main St"/>
    <x v="0"/>
    <x v="0"/>
    <s v="TRK18061555"/>
    <n v="1"/>
    <s v="SAVE10"/>
    <x v="2"/>
    <n v="668.48"/>
  </r>
  <r>
    <s v="ORD200526"/>
    <x v="405"/>
    <x v="526"/>
    <x v="6"/>
    <n v="2"/>
    <n v="46.5"/>
    <s v="837 Main St"/>
    <x v="4"/>
    <x v="2"/>
    <s v="TRK63526023"/>
    <n v="7"/>
    <s v="WINTER15"/>
    <x v="4"/>
    <n v="93"/>
  </r>
  <r>
    <s v="ORD200527"/>
    <x v="406"/>
    <x v="527"/>
    <x v="3"/>
    <n v="5"/>
    <n v="653.47"/>
    <s v="967 Main St"/>
    <x v="2"/>
    <x v="1"/>
    <s v="TRK75406128"/>
    <n v="10"/>
    <s v="SAVE10"/>
    <x v="1"/>
    <n v="3267.3500000000004"/>
  </r>
  <r>
    <s v="ORD200528"/>
    <x v="407"/>
    <x v="528"/>
    <x v="3"/>
    <n v="1"/>
    <n v="628.89"/>
    <s v="686 Main St"/>
    <x v="2"/>
    <x v="2"/>
    <s v="TRK70997744"/>
    <n v="2"/>
    <s v="SAVE10"/>
    <x v="1"/>
    <n v="628.89"/>
  </r>
  <r>
    <s v="ORD200529"/>
    <x v="158"/>
    <x v="529"/>
    <x v="2"/>
    <n v="2"/>
    <n v="675.1"/>
    <s v="938 Main St"/>
    <x v="4"/>
    <x v="4"/>
    <s v="TRK50363421"/>
    <n v="4"/>
    <s v="FREESHIP"/>
    <x v="4"/>
    <n v="1350.2"/>
  </r>
  <r>
    <s v="ORD200530"/>
    <x v="408"/>
    <x v="530"/>
    <x v="3"/>
    <n v="4"/>
    <n v="89.41"/>
    <s v="613 Main St"/>
    <x v="1"/>
    <x v="4"/>
    <s v="TRK14809530"/>
    <n v="9"/>
    <s v="None"/>
    <x v="4"/>
    <n v="357.64"/>
  </r>
  <r>
    <s v="ORD200531"/>
    <x v="367"/>
    <x v="531"/>
    <x v="6"/>
    <n v="5"/>
    <n v="320.01"/>
    <s v="722 Main St"/>
    <x v="3"/>
    <x v="3"/>
    <s v="TRK14914388"/>
    <n v="6"/>
    <s v="None"/>
    <x v="1"/>
    <n v="1600.05"/>
  </r>
  <r>
    <s v="ORD200532"/>
    <x v="120"/>
    <x v="532"/>
    <x v="5"/>
    <n v="2"/>
    <n v="41"/>
    <s v="369 Main St"/>
    <x v="1"/>
    <x v="3"/>
    <s v="TRK42207882"/>
    <n v="7"/>
    <s v="None"/>
    <x v="2"/>
    <n v="82"/>
  </r>
  <r>
    <s v="ORD200533"/>
    <x v="409"/>
    <x v="533"/>
    <x v="6"/>
    <n v="1"/>
    <n v="565.85"/>
    <s v="715 Main St"/>
    <x v="3"/>
    <x v="2"/>
    <s v="TRK63550793"/>
    <n v="1"/>
    <s v="FREESHIP"/>
    <x v="3"/>
    <n v="565.85"/>
  </r>
  <r>
    <s v="ORD200534"/>
    <x v="309"/>
    <x v="534"/>
    <x v="3"/>
    <n v="3"/>
    <n v="648.59"/>
    <s v="906 Main St"/>
    <x v="0"/>
    <x v="1"/>
    <s v="TRK70872738"/>
    <n v="4"/>
    <s v="SAVE10"/>
    <x v="2"/>
    <n v="1945.77"/>
  </r>
  <r>
    <s v="ORD200535"/>
    <x v="25"/>
    <x v="535"/>
    <x v="0"/>
    <n v="3"/>
    <n v="68.12"/>
    <s v="332 Main St"/>
    <x v="1"/>
    <x v="1"/>
    <s v="TRK45821445"/>
    <n v="3"/>
    <s v="FREESHIP"/>
    <x v="2"/>
    <n v="204.36"/>
  </r>
  <r>
    <s v="ORD200536"/>
    <x v="410"/>
    <x v="536"/>
    <x v="3"/>
    <n v="1"/>
    <n v="616.1"/>
    <s v="124 Main St"/>
    <x v="4"/>
    <x v="2"/>
    <s v="TRK52508861"/>
    <n v="6"/>
    <s v="None"/>
    <x v="2"/>
    <n v="616.1"/>
  </r>
  <r>
    <s v="ORD200537"/>
    <x v="411"/>
    <x v="537"/>
    <x v="2"/>
    <n v="3"/>
    <n v="247.47"/>
    <s v="385 Main St"/>
    <x v="1"/>
    <x v="3"/>
    <s v="TRK58218971"/>
    <n v="4"/>
    <s v="SAVE10"/>
    <x v="3"/>
    <n v="742.41"/>
  </r>
  <r>
    <s v="ORD200538"/>
    <x v="75"/>
    <x v="538"/>
    <x v="1"/>
    <n v="3"/>
    <n v="490.74"/>
    <s v="100 Main St"/>
    <x v="4"/>
    <x v="0"/>
    <s v="TRK95487711"/>
    <n v="3"/>
    <s v="WINTER15"/>
    <x v="2"/>
    <n v="1472.22"/>
  </r>
  <r>
    <s v="ORD200539"/>
    <x v="403"/>
    <x v="539"/>
    <x v="6"/>
    <n v="3"/>
    <n v="531.72"/>
    <s v="473 Main St"/>
    <x v="3"/>
    <x v="3"/>
    <s v="TRK17653832"/>
    <n v="7"/>
    <s v="SAVE10"/>
    <x v="4"/>
    <n v="1595.16"/>
  </r>
  <r>
    <s v="ORD200540"/>
    <x v="412"/>
    <x v="540"/>
    <x v="5"/>
    <n v="5"/>
    <n v="648.65"/>
    <s v="852 Main St"/>
    <x v="1"/>
    <x v="4"/>
    <s v="TRK81765057"/>
    <n v="7"/>
    <s v="None"/>
    <x v="1"/>
    <n v="3243.25"/>
  </r>
  <r>
    <s v="ORD200541"/>
    <x v="413"/>
    <x v="541"/>
    <x v="4"/>
    <n v="5"/>
    <n v="456.06"/>
    <s v="879 Main St"/>
    <x v="4"/>
    <x v="4"/>
    <s v="TRK61295842"/>
    <n v="10"/>
    <s v="None"/>
    <x v="0"/>
    <n v="2280.3000000000002"/>
  </r>
  <r>
    <s v="ORD200542"/>
    <x v="414"/>
    <x v="542"/>
    <x v="2"/>
    <n v="1"/>
    <n v="17.98"/>
    <s v="934 Main St"/>
    <x v="4"/>
    <x v="1"/>
    <s v="TRK20739460"/>
    <n v="6"/>
    <s v="FREESHIP"/>
    <x v="2"/>
    <n v="17.98"/>
  </r>
  <r>
    <s v="ORD200543"/>
    <x v="415"/>
    <x v="543"/>
    <x v="6"/>
    <n v="5"/>
    <n v="269.86"/>
    <s v="354 Main St"/>
    <x v="4"/>
    <x v="0"/>
    <s v="TRK93877673"/>
    <n v="6"/>
    <s v="WINTER15"/>
    <x v="3"/>
    <n v="1349.3000000000002"/>
  </r>
  <r>
    <s v="ORD200544"/>
    <x v="416"/>
    <x v="544"/>
    <x v="4"/>
    <n v="5"/>
    <n v="31.96"/>
    <s v="373 Main St"/>
    <x v="2"/>
    <x v="2"/>
    <s v="TRK96334419"/>
    <n v="5"/>
    <s v="FREESHIP"/>
    <x v="1"/>
    <n v="159.80000000000001"/>
  </r>
  <r>
    <s v="ORD200545"/>
    <x v="263"/>
    <x v="545"/>
    <x v="0"/>
    <n v="2"/>
    <n v="98.47"/>
    <s v="964 Main St"/>
    <x v="4"/>
    <x v="2"/>
    <s v="TRK74091695"/>
    <n v="3"/>
    <s v="None"/>
    <x v="0"/>
    <n v="196.94"/>
  </r>
  <r>
    <s v="ORD200546"/>
    <x v="417"/>
    <x v="546"/>
    <x v="0"/>
    <n v="1"/>
    <n v="158.68"/>
    <s v="928 Main St"/>
    <x v="2"/>
    <x v="2"/>
    <s v="TRK77177284"/>
    <n v="6"/>
    <s v="WINTER15"/>
    <x v="0"/>
    <n v="158.68"/>
  </r>
  <r>
    <s v="ORD200547"/>
    <x v="38"/>
    <x v="547"/>
    <x v="1"/>
    <n v="1"/>
    <n v="613.98"/>
    <s v="411 Main St"/>
    <x v="1"/>
    <x v="3"/>
    <s v="TRK25392280"/>
    <n v="4"/>
    <s v="FREESHIP"/>
    <x v="3"/>
    <n v="613.98"/>
  </r>
  <r>
    <s v="ORD200548"/>
    <x v="80"/>
    <x v="548"/>
    <x v="4"/>
    <n v="3"/>
    <n v="426.12"/>
    <s v="922 Main St"/>
    <x v="1"/>
    <x v="3"/>
    <s v="TRK64398650"/>
    <n v="5"/>
    <s v="WINTER15"/>
    <x v="0"/>
    <n v="1278.3600000000001"/>
  </r>
  <r>
    <s v="ORD200549"/>
    <x v="86"/>
    <x v="549"/>
    <x v="0"/>
    <n v="4"/>
    <n v="629.88"/>
    <s v="550 Main St"/>
    <x v="0"/>
    <x v="1"/>
    <s v="TRK56378197"/>
    <n v="8"/>
    <s v="WINTER15"/>
    <x v="0"/>
    <n v="2519.52"/>
  </r>
  <r>
    <s v="ORD200550"/>
    <x v="418"/>
    <x v="550"/>
    <x v="5"/>
    <n v="4"/>
    <n v="228.91"/>
    <s v="573 Main St"/>
    <x v="4"/>
    <x v="0"/>
    <s v="TRK81794737"/>
    <n v="4"/>
    <s v="FREESHIP"/>
    <x v="4"/>
    <n v="915.64"/>
  </r>
  <r>
    <s v="ORD200551"/>
    <x v="419"/>
    <x v="551"/>
    <x v="5"/>
    <n v="1"/>
    <n v="120.98"/>
    <s v="353 Main St"/>
    <x v="0"/>
    <x v="3"/>
    <s v="TRK74812710"/>
    <n v="6"/>
    <s v="WINTER15"/>
    <x v="2"/>
    <n v="120.98"/>
  </r>
  <r>
    <s v="ORD200552"/>
    <x v="420"/>
    <x v="552"/>
    <x v="3"/>
    <n v="4"/>
    <n v="425.18"/>
    <s v="560 Main St"/>
    <x v="1"/>
    <x v="2"/>
    <s v="TRK29890761"/>
    <n v="8"/>
    <s v="WINTER15"/>
    <x v="3"/>
    <n v="1700.72"/>
  </r>
  <r>
    <s v="ORD200553"/>
    <x v="421"/>
    <x v="553"/>
    <x v="1"/>
    <n v="2"/>
    <n v="333.83"/>
    <s v="828 Main St"/>
    <x v="3"/>
    <x v="1"/>
    <s v="TRK74103758"/>
    <n v="4"/>
    <s v="FREESHIP"/>
    <x v="1"/>
    <n v="667.66"/>
  </r>
  <r>
    <s v="ORD200554"/>
    <x v="422"/>
    <x v="554"/>
    <x v="5"/>
    <n v="2"/>
    <n v="492.9"/>
    <s v="610 Main St"/>
    <x v="4"/>
    <x v="2"/>
    <s v="TRK66126496"/>
    <n v="5"/>
    <s v="FREESHIP"/>
    <x v="0"/>
    <n v="985.8"/>
  </r>
  <r>
    <s v="ORD200555"/>
    <x v="33"/>
    <x v="555"/>
    <x v="2"/>
    <n v="1"/>
    <n v="92.04"/>
    <s v="333 Main St"/>
    <x v="4"/>
    <x v="0"/>
    <s v="TRK89306964"/>
    <n v="2"/>
    <s v="None"/>
    <x v="3"/>
    <n v="92.04"/>
  </r>
  <r>
    <s v="ORD200556"/>
    <x v="423"/>
    <x v="556"/>
    <x v="5"/>
    <n v="1"/>
    <n v="654.27"/>
    <s v="932 Main St"/>
    <x v="3"/>
    <x v="4"/>
    <s v="TRK82609328"/>
    <n v="2"/>
    <s v="SAVE10"/>
    <x v="3"/>
    <n v="654.27"/>
  </r>
  <r>
    <s v="ORD200557"/>
    <x v="282"/>
    <x v="557"/>
    <x v="2"/>
    <n v="1"/>
    <n v="56.2"/>
    <s v="130 Main St"/>
    <x v="0"/>
    <x v="4"/>
    <s v="TRK40719215"/>
    <n v="1"/>
    <s v="WINTER15"/>
    <x v="3"/>
    <n v="56.2"/>
  </r>
  <r>
    <s v="ORD200558"/>
    <x v="424"/>
    <x v="558"/>
    <x v="1"/>
    <n v="4"/>
    <n v="628.12"/>
    <s v="485 Main St"/>
    <x v="1"/>
    <x v="3"/>
    <s v="TRK32052962"/>
    <n v="6"/>
    <s v="WINTER15"/>
    <x v="0"/>
    <n v="2512.48"/>
  </r>
  <r>
    <s v="ORD200559"/>
    <x v="116"/>
    <x v="559"/>
    <x v="6"/>
    <n v="3"/>
    <n v="157.4"/>
    <s v="454 Main St"/>
    <x v="0"/>
    <x v="1"/>
    <s v="TRK10115285"/>
    <n v="7"/>
    <s v="WINTER15"/>
    <x v="2"/>
    <n v="472.20000000000005"/>
  </r>
  <r>
    <s v="ORD200560"/>
    <x v="425"/>
    <x v="560"/>
    <x v="0"/>
    <n v="4"/>
    <n v="588.85"/>
    <s v="524 Main St"/>
    <x v="3"/>
    <x v="4"/>
    <s v="TRK93168008"/>
    <n v="7"/>
    <s v="None"/>
    <x v="2"/>
    <n v="2355.4"/>
  </r>
  <r>
    <s v="ORD200561"/>
    <x v="425"/>
    <x v="561"/>
    <x v="4"/>
    <n v="2"/>
    <n v="494.78"/>
    <s v="198 Main St"/>
    <x v="1"/>
    <x v="0"/>
    <s v="TRK89180077"/>
    <n v="2"/>
    <s v="None"/>
    <x v="4"/>
    <n v="989.56"/>
  </r>
  <r>
    <s v="ORD200562"/>
    <x v="426"/>
    <x v="562"/>
    <x v="5"/>
    <n v="3"/>
    <n v="663.93"/>
    <s v="922 Main St"/>
    <x v="3"/>
    <x v="2"/>
    <s v="TRK28043915"/>
    <n v="6"/>
    <s v="FREESHIP"/>
    <x v="2"/>
    <n v="1991.79"/>
  </r>
  <r>
    <s v="ORD200563"/>
    <x v="427"/>
    <x v="563"/>
    <x v="5"/>
    <n v="1"/>
    <n v="132.68"/>
    <s v="844 Main St"/>
    <x v="0"/>
    <x v="2"/>
    <s v="TRK68645763"/>
    <n v="1"/>
    <s v="SAVE10"/>
    <x v="1"/>
    <n v="132.68"/>
  </r>
  <r>
    <s v="ORD200564"/>
    <x v="428"/>
    <x v="564"/>
    <x v="6"/>
    <n v="5"/>
    <n v="364.28"/>
    <s v="734 Main St"/>
    <x v="2"/>
    <x v="1"/>
    <s v="TRK99446987"/>
    <n v="5"/>
    <s v="WINTER15"/>
    <x v="4"/>
    <n v="1821.3999999999999"/>
  </r>
  <r>
    <s v="ORD200565"/>
    <x v="429"/>
    <x v="565"/>
    <x v="2"/>
    <n v="5"/>
    <n v="307.98"/>
    <s v="214 Main St"/>
    <x v="1"/>
    <x v="4"/>
    <s v="TRK42605492"/>
    <n v="10"/>
    <s v="None"/>
    <x v="3"/>
    <n v="1539.9"/>
  </r>
  <r>
    <s v="ORD200566"/>
    <x v="171"/>
    <x v="566"/>
    <x v="1"/>
    <n v="4"/>
    <n v="162.71"/>
    <s v="167 Main St"/>
    <x v="4"/>
    <x v="1"/>
    <s v="TRK54339083"/>
    <n v="7"/>
    <s v="FREESHIP"/>
    <x v="2"/>
    <n v="650.84"/>
  </r>
  <r>
    <s v="ORD200567"/>
    <x v="430"/>
    <x v="567"/>
    <x v="3"/>
    <n v="5"/>
    <n v="492.94"/>
    <s v="153 Main St"/>
    <x v="4"/>
    <x v="0"/>
    <s v="TRK53579227"/>
    <n v="10"/>
    <s v="FREESHIP"/>
    <x v="2"/>
    <n v="2464.6999999999998"/>
  </r>
  <r>
    <s v="ORD200568"/>
    <x v="401"/>
    <x v="568"/>
    <x v="5"/>
    <n v="2"/>
    <n v="343.99"/>
    <s v="312 Main St"/>
    <x v="1"/>
    <x v="3"/>
    <s v="TRK72334047"/>
    <n v="4"/>
    <s v="None"/>
    <x v="4"/>
    <n v="687.98"/>
  </r>
  <r>
    <s v="ORD200569"/>
    <x v="29"/>
    <x v="569"/>
    <x v="6"/>
    <n v="5"/>
    <n v="250.68"/>
    <s v="672 Main St"/>
    <x v="4"/>
    <x v="0"/>
    <s v="TRK13289741"/>
    <n v="8"/>
    <s v="SAVE10"/>
    <x v="0"/>
    <n v="1253.4000000000001"/>
  </r>
  <r>
    <s v="ORD200570"/>
    <x v="431"/>
    <x v="570"/>
    <x v="6"/>
    <n v="2"/>
    <n v="362.14"/>
    <s v="122 Main St"/>
    <x v="0"/>
    <x v="4"/>
    <s v="TRK13611021"/>
    <n v="2"/>
    <s v="SAVE10"/>
    <x v="0"/>
    <n v="724.28"/>
  </r>
  <r>
    <s v="ORD200571"/>
    <x v="432"/>
    <x v="571"/>
    <x v="2"/>
    <n v="1"/>
    <n v="214.08"/>
    <s v="867 Main St"/>
    <x v="3"/>
    <x v="2"/>
    <s v="TRK39563288"/>
    <n v="2"/>
    <s v="WINTER15"/>
    <x v="4"/>
    <n v="214.08"/>
  </r>
  <r>
    <s v="ORD200572"/>
    <x v="433"/>
    <x v="572"/>
    <x v="4"/>
    <n v="1"/>
    <n v="70.319999999999993"/>
    <s v="341 Main St"/>
    <x v="4"/>
    <x v="2"/>
    <s v="TRK69125497"/>
    <n v="4"/>
    <s v="WINTER15"/>
    <x v="3"/>
    <n v="70.319999999999993"/>
  </r>
  <r>
    <s v="ORD200573"/>
    <x v="261"/>
    <x v="573"/>
    <x v="3"/>
    <n v="5"/>
    <n v="421.42"/>
    <s v="522 Main St"/>
    <x v="0"/>
    <x v="1"/>
    <s v="TRK30686578"/>
    <n v="7"/>
    <s v="None"/>
    <x v="0"/>
    <n v="2107.1"/>
  </r>
  <r>
    <s v="ORD200574"/>
    <x v="434"/>
    <x v="574"/>
    <x v="3"/>
    <n v="5"/>
    <n v="384.69"/>
    <s v="275 Main St"/>
    <x v="2"/>
    <x v="4"/>
    <s v="TRK97733212"/>
    <n v="6"/>
    <s v="FREESHIP"/>
    <x v="2"/>
    <n v="1923.45"/>
  </r>
  <r>
    <s v="ORD200575"/>
    <x v="323"/>
    <x v="575"/>
    <x v="3"/>
    <n v="5"/>
    <n v="448.15"/>
    <s v="528 Main St"/>
    <x v="3"/>
    <x v="2"/>
    <s v="TRK61640534"/>
    <n v="7"/>
    <s v="SAVE10"/>
    <x v="4"/>
    <n v="2240.75"/>
  </r>
  <r>
    <s v="ORD200576"/>
    <x v="382"/>
    <x v="576"/>
    <x v="5"/>
    <n v="5"/>
    <n v="79.08"/>
    <s v="747 Main St"/>
    <x v="4"/>
    <x v="4"/>
    <s v="TRK42517811"/>
    <n v="8"/>
    <s v="None"/>
    <x v="3"/>
    <n v="395.4"/>
  </r>
  <r>
    <s v="ORD200577"/>
    <x v="55"/>
    <x v="577"/>
    <x v="2"/>
    <n v="4"/>
    <n v="185.41"/>
    <s v="967 Main St"/>
    <x v="1"/>
    <x v="2"/>
    <s v="TRK44401497"/>
    <n v="9"/>
    <s v="WINTER15"/>
    <x v="4"/>
    <n v="741.64"/>
  </r>
  <r>
    <s v="ORD200578"/>
    <x v="84"/>
    <x v="578"/>
    <x v="0"/>
    <n v="5"/>
    <n v="566.07000000000005"/>
    <s v="587 Main St"/>
    <x v="2"/>
    <x v="3"/>
    <s v="TRK41345634"/>
    <n v="6"/>
    <s v="SAVE10"/>
    <x v="0"/>
    <n v="2830.3500000000004"/>
  </r>
  <r>
    <s v="ORD200579"/>
    <x v="243"/>
    <x v="579"/>
    <x v="2"/>
    <n v="2"/>
    <n v="187.88"/>
    <s v="413 Main St"/>
    <x v="1"/>
    <x v="0"/>
    <s v="TRK67919507"/>
    <n v="4"/>
    <s v="WINTER15"/>
    <x v="3"/>
    <n v="375.76"/>
  </r>
  <r>
    <s v="ORD200580"/>
    <x v="414"/>
    <x v="580"/>
    <x v="0"/>
    <n v="2"/>
    <n v="255.99"/>
    <s v="340 Main St"/>
    <x v="2"/>
    <x v="3"/>
    <s v="TRK65148292"/>
    <n v="4"/>
    <s v="SAVE10"/>
    <x v="0"/>
    <n v="511.98"/>
  </r>
  <r>
    <s v="ORD200581"/>
    <x v="435"/>
    <x v="581"/>
    <x v="5"/>
    <n v="1"/>
    <n v="627.34"/>
    <s v="942 Main St"/>
    <x v="1"/>
    <x v="3"/>
    <s v="TRK87158684"/>
    <n v="1"/>
    <s v="None"/>
    <x v="1"/>
    <n v="627.34"/>
  </r>
  <r>
    <s v="ORD200582"/>
    <x v="436"/>
    <x v="582"/>
    <x v="2"/>
    <n v="3"/>
    <n v="474.14"/>
    <s v="558 Main St"/>
    <x v="3"/>
    <x v="0"/>
    <s v="TRK33860620"/>
    <n v="8"/>
    <s v="WINTER15"/>
    <x v="4"/>
    <n v="1422.42"/>
  </r>
  <r>
    <s v="ORD200583"/>
    <x v="437"/>
    <x v="583"/>
    <x v="3"/>
    <n v="3"/>
    <n v="154.37"/>
    <s v="996 Main St"/>
    <x v="3"/>
    <x v="3"/>
    <s v="TRK29750379"/>
    <n v="4"/>
    <s v="None"/>
    <x v="0"/>
    <n v="463.11"/>
  </r>
  <r>
    <s v="ORD200584"/>
    <x v="438"/>
    <x v="584"/>
    <x v="3"/>
    <n v="4"/>
    <n v="145.05000000000001"/>
    <s v="626 Main St"/>
    <x v="1"/>
    <x v="3"/>
    <s v="TRK28779938"/>
    <n v="6"/>
    <s v="SAVE10"/>
    <x v="4"/>
    <n v="580.20000000000005"/>
  </r>
  <r>
    <s v="ORD200585"/>
    <x v="38"/>
    <x v="585"/>
    <x v="2"/>
    <n v="4"/>
    <n v="67.08"/>
    <s v="907 Main St"/>
    <x v="4"/>
    <x v="2"/>
    <s v="TRK79617136"/>
    <n v="8"/>
    <s v="WINTER15"/>
    <x v="4"/>
    <n v="268.32"/>
  </r>
  <r>
    <s v="ORD200586"/>
    <x v="337"/>
    <x v="586"/>
    <x v="0"/>
    <n v="1"/>
    <n v="522.08000000000004"/>
    <s v="905 Main St"/>
    <x v="3"/>
    <x v="2"/>
    <s v="TRK98857880"/>
    <n v="5"/>
    <s v="FREESHIP"/>
    <x v="1"/>
    <n v="522.08000000000004"/>
  </r>
  <r>
    <s v="ORD200587"/>
    <x v="439"/>
    <x v="587"/>
    <x v="0"/>
    <n v="5"/>
    <n v="514.6"/>
    <s v="347 Main St"/>
    <x v="3"/>
    <x v="3"/>
    <s v="TRK91547425"/>
    <n v="10"/>
    <s v="FREESHIP"/>
    <x v="0"/>
    <n v="2573"/>
  </r>
  <r>
    <s v="ORD200588"/>
    <x v="440"/>
    <x v="588"/>
    <x v="0"/>
    <n v="4"/>
    <n v="577.82000000000005"/>
    <s v="811 Main St"/>
    <x v="2"/>
    <x v="3"/>
    <s v="TRK47613918"/>
    <n v="9"/>
    <s v="None"/>
    <x v="4"/>
    <n v="2311.2800000000002"/>
  </r>
  <r>
    <s v="ORD200589"/>
    <x v="441"/>
    <x v="589"/>
    <x v="5"/>
    <n v="2"/>
    <n v="500.8"/>
    <s v="900 Main St"/>
    <x v="4"/>
    <x v="3"/>
    <s v="TRK84920444"/>
    <n v="3"/>
    <s v="FREESHIP"/>
    <x v="1"/>
    <n v="1001.6"/>
  </r>
  <r>
    <s v="ORD200590"/>
    <x v="442"/>
    <x v="590"/>
    <x v="4"/>
    <n v="2"/>
    <n v="461.13"/>
    <s v="175 Main St"/>
    <x v="3"/>
    <x v="2"/>
    <s v="TRK27356242"/>
    <n v="4"/>
    <s v="None"/>
    <x v="2"/>
    <n v="922.26"/>
  </r>
  <r>
    <s v="ORD200591"/>
    <x v="249"/>
    <x v="591"/>
    <x v="5"/>
    <n v="1"/>
    <n v="605.28"/>
    <s v="470 Main St"/>
    <x v="3"/>
    <x v="0"/>
    <s v="TRK50528185"/>
    <n v="3"/>
    <s v="FREESHIP"/>
    <x v="1"/>
    <n v="605.28"/>
  </r>
  <r>
    <s v="ORD200592"/>
    <x v="234"/>
    <x v="592"/>
    <x v="1"/>
    <n v="3"/>
    <n v="204.27"/>
    <s v="938 Main St"/>
    <x v="1"/>
    <x v="2"/>
    <s v="TRK15499648"/>
    <n v="4"/>
    <s v="None"/>
    <x v="4"/>
    <n v="612.81000000000006"/>
  </r>
  <r>
    <s v="ORD200593"/>
    <x v="443"/>
    <x v="593"/>
    <x v="0"/>
    <n v="1"/>
    <n v="489.8"/>
    <s v="636 Main St"/>
    <x v="3"/>
    <x v="0"/>
    <s v="TRK31375086"/>
    <n v="4"/>
    <s v="FREESHIP"/>
    <x v="3"/>
    <n v="489.8"/>
  </r>
  <r>
    <s v="ORD200594"/>
    <x v="444"/>
    <x v="594"/>
    <x v="1"/>
    <n v="5"/>
    <n v="72.64"/>
    <s v="598 Main St"/>
    <x v="2"/>
    <x v="1"/>
    <s v="TRK12671989"/>
    <n v="7"/>
    <s v="None"/>
    <x v="2"/>
    <n v="363.2"/>
  </r>
  <r>
    <s v="ORD200595"/>
    <x v="445"/>
    <x v="595"/>
    <x v="4"/>
    <n v="2"/>
    <n v="385.16"/>
    <s v="491 Main St"/>
    <x v="1"/>
    <x v="4"/>
    <s v="TRK83870446"/>
    <n v="7"/>
    <s v="SAVE10"/>
    <x v="2"/>
    <n v="770.32"/>
  </r>
  <r>
    <s v="ORD200596"/>
    <x v="439"/>
    <x v="596"/>
    <x v="6"/>
    <n v="3"/>
    <n v="606.41"/>
    <s v="653 Main St"/>
    <x v="0"/>
    <x v="2"/>
    <s v="TRK34504030"/>
    <n v="7"/>
    <s v="FREESHIP"/>
    <x v="3"/>
    <n v="1819.23"/>
  </r>
  <r>
    <s v="ORD200597"/>
    <x v="446"/>
    <x v="597"/>
    <x v="6"/>
    <n v="2"/>
    <n v="211.82"/>
    <s v="700 Main St"/>
    <x v="3"/>
    <x v="1"/>
    <s v="TRK29821356"/>
    <n v="4"/>
    <s v="WINTER15"/>
    <x v="2"/>
    <n v="423.64"/>
  </r>
  <r>
    <s v="ORD200598"/>
    <x v="447"/>
    <x v="598"/>
    <x v="6"/>
    <n v="5"/>
    <n v="495.35"/>
    <s v="826 Main St"/>
    <x v="2"/>
    <x v="4"/>
    <s v="TRK59069987"/>
    <n v="5"/>
    <s v="None"/>
    <x v="3"/>
    <n v="2476.75"/>
  </r>
  <r>
    <s v="ORD200599"/>
    <x v="30"/>
    <x v="599"/>
    <x v="3"/>
    <n v="3"/>
    <n v="556.99"/>
    <s v="123 Main St"/>
    <x v="1"/>
    <x v="1"/>
    <s v="TRK33642221"/>
    <n v="4"/>
    <s v="FREESHIP"/>
    <x v="3"/>
    <n v="1670.97"/>
  </r>
  <r>
    <s v="ORD200600"/>
    <x v="68"/>
    <x v="600"/>
    <x v="4"/>
    <n v="1"/>
    <n v="72.31"/>
    <s v="460 Main St"/>
    <x v="3"/>
    <x v="1"/>
    <s v="TRK82056333"/>
    <n v="1"/>
    <s v="FREESHIP"/>
    <x v="3"/>
    <n v="72.31"/>
  </r>
  <r>
    <s v="ORD200601"/>
    <x v="276"/>
    <x v="601"/>
    <x v="0"/>
    <n v="5"/>
    <n v="24.82"/>
    <s v="529 Main St"/>
    <x v="2"/>
    <x v="0"/>
    <s v="TRK73935314"/>
    <n v="10"/>
    <s v="None"/>
    <x v="1"/>
    <n v="124.1"/>
  </r>
  <r>
    <s v="ORD200602"/>
    <x v="448"/>
    <x v="482"/>
    <x v="2"/>
    <n v="4"/>
    <n v="26.04"/>
    <s v="982 Main St"/>
    <x v="1"/>
    <x v="4"/>
    <s v="TRK64660134"/>
    <n v="5"/>
    <s v="SAVE10"/>
    <x v="0"/>
    <n v="104.16"/>
  </r>
  <r>
    <s v="ORD200603"/>
    <x v="449"/>
    <x v="602"/>
    <x v="2"/>
    <n v="1"/>
    <n v="657.07"/>
    <s v="800 Main St"/>
    <x v="4"/>
    <x v="4"/>
    <s v="TRK50900547"/>
    <n v="4"/>
    <s v="SAVE10"/>
    <x v="4"/>
    <n v="657.07"/>
  </r>
  <r>
    <s v="ORD200604"/>
    <x v="450"/>
    <x v="603"/>
    <x v="3"/>
    <n v="3"/>
    <n v="32.619999999999997"/>
    <s v="252 Main St"/>
    <x v="0"/>
    <x v="3"/>
    <s v="TRK81368481"/>
    <n v="6"/>
    <s v="None"/>
    <x v="3"/>
    <n v="97.859999999999985"/>
  </r>
  <r>
    <s v="ORD200605"/>
    <x v="451"/>
    <x v="604"/>
    <x v="0"/>
    <n v="2"/>
    <n v="228.91"/>
    <s v="892 Main St"/>
    <x v="0"/>
    <x v="0"/>
    <s v="TRK95620066"/>
    <n v="4"/>
    <s v="SAVE10"/>
    <x v="1"/>
    <n v="457.82"/>
  </r>
  <r>
    <s v="ORD200606"/>
    <x v="119"/>
    <x v="605"/>
    <x v="5"/>
    <n v="3"/>
    <n v="274.75"/>
    <s v="783 Main St"/>
    <x v="4"/>
    <x v="1"/>
    <s v="TRK54128886"/>
    <n v="3"/>
    <s v="SAVE10"/>
    <x v="4"/>
    <n v="824.25"/>
  </r>
  <r>
    <s v="ORD200607"/>
    <x v="133"/>
    <x v="606"/>
    <x v="4"/>
    <n v="4"/>
    <n v="634.04999999999995"/>
    <s v="282 Main St"/>
    <x v="4"/>
    <x v="0"/>
    <s v="TRK56730647"/>
    <n v="6"/>
    <s v="SAVE10"/>
    <x v="4"/>
    <n v="2536.1999999999998"/>
  </r>
  <r>
    <s v="ORD200608"/>
    <x v="25"/>
    <x v="607"/>
    <x v="5"/>
    <n v="5"/>
    <n v="543.16"/>
    <s v="788 Main St"/>
    <x v="1"/>
    <x v="1"/>
    <s v="TRK73140103"/>
    <n v="6"/>
    <s v="SAVE10"/>
    <x v="0"/>
    <n v="2715.7999999999997"/>
  </r>
  <r>
    <s v="ORD200609"/>
    <x v="109"/>
    <x v="608"/>
    <x v="3"/>
    <n v="3"/>
    <n v="449.13"/>
    <s v="809 Main St"/>
    <x v="4"/>
    <x v="2"/>
    <s v="TRK52732162"/>
    <n v="5"/>
    <s v="WINTER15"/>
    <x v="1"/>
    <n v="1347.3899999999999"/>
  </r>
  <r>
    <s v="ORD200610"/>
    <x v="452"/>
    <x v="609"/>
    <x v="6"/>
    <n v="5"/>
    <n v="389.62"/>
    <s v="623 Main St"/>
    <x v="4"/>
    <x v="2"/>
    <s v="TRK83566924"/>
    <n v="7"/>
    <s v="FREESHIP"/>
    <x v="3"/>
    <n v="1948.1"/>
  </r>
  <r>
    <s v="ORD200611"/>
    <x v="453"/>
    <x v="610"/>
    <x v="6"/>
    <n v="1"/>
    <n v="305.17"/>
    <s v="700 Main St"/>
    <x v="3"/>
    <x v="2"/>
    <s v="TRK35720426"/>
    <n v="3"/>
    <s v="WINTER15"/>
    <x v="1"/>
    <n v="305.17"/>
  </r>
  <r>
    <s v="ORD200612"/>
    <x v="454"/>
    <x v="611"/>
    <x v="3"/>
    <n v="3"/>
    <n v="445.12"/>
    <s v="339 Main St"/>
    <x v="3"/>
    <x v="1"/>
    <s v="TRK82377939"/>
    <n v="8"/>
    <s v="None"/>
    <x v="4"/>
    <n v="1335.3600000000001"/>
  </r>
  <r>
    <s v="ORD200613"/>
    <x v="36"/>
    <x v="612"/>
    <x v="5"/>
    <n v="2"/>
    <n v="230.36"/>
    <s v="154 Main St"/>
    <x v="1"/>
    <x v="2"/>
    <s v="TRK14721763"/>
    <n v="4"/>
    <s v="WINTER15"/>
    <x v="2"/>
    <n v="460.72"/>
  </r>
  <r>
    <s v="ORD200614"/>
    <x v="455"/>
    <x v="613"/>
    <x v="1"/>
    <n v="1"/>
    <n v="96.81"/>
    <s v="807 Main St"/>
    <x v="3"/>
    <x v="1"/>
    <s v="TRK12439827"/>
    <n v="3"/>
    <s v="None"/>
    <x v="1"/>
    <n v="96.81"/>
  </r>
  <r>
    <s v="ORD200615"/>
    <x v="456"/>
    <x v="614"/>
    <x v="0"/>
    <n v="5"/>
    <n v="460.14"/>
    <s v="252 Main St"/>
    <x v="2"/>
    <x v="2"/>
    <s v="TRK52632065"/>
    <n v="10"/>
    <s v="WINTER15"/>
    <x v="3"/>
    <n v="2300.6999999999998"/>
  </r>
  <r>
    <s v="ORD200616"/>
    <x v="457"/>
    <x v="615"/>
    <x v="2"/>
    <n v="3"/>
    <n v="601.6"/>
    <s v="984 Main St"/>
    <x v="2"/>
    <x v="1"/>
    <s v="TRK73113192"/>
    <n v="7"/>
    <s v="SAVE10"/>
    <x v="3"/>
    <n v="1804.8000000000002"/>
  </r>
  <r>
    <s v="ORD200617"/>
    <x v="458"/>
    <x v="616"/>
    <x v="2"/>
    <n v="3"/>
    <n v="184.47"/>
    <s v="834 Main St"/>
    <x v="1"/>
    <x v="1"/>
    <s v="TRK75469057"/>
    <n v="4"/>
    <s v="None"/>
    <x v="1"/>
    <n v="553.41"/>
  </r>
  <r>
    <s v="ORD200618"/>
    <x v="459"/>
    <x v="617"/>
    <x v="2"/>
    <n v="1"/>
    <n v="411.34"/>
    <s v="399 Main St"/>
    <x v="0"/>
    <x v="2"/>
    <s v="TRK97981418"/>
    <n v="5"/>
    <s v="None"/>
    <x v="0"/>
    <n v="411.34"/>
  </r>
  <r>
    <s v="ORD200619"/>
    <x v="424"/>
    <x v="618"/>
    <x v="5"/>
    <n v="1"/>
    <n v="532.89"/>
    <s v="764 Main St"/>
    <x v="3"/>
    <x v="4"/>
    <s v="TRK47637374"/>
    <n v="2"/>
    <s v="None"/>
    <x v="1"/>
    <n v="532.89"/>
  </r>
  <r>
    <s v="ORD200620"/>
    <x v="460"/>
    <x v="619"/>
    <x v="2"/>
    <n v="3"/>
    <n v="136.34"/>
    <s v="866 Main St"/>
    <x v="0"/>
    <x v="2"/>
    <s v="TRK90136001"/>
    <n v="8"/>
    <s v="SAVE10"/>
    <x v="1"/>
    <n v="409.02"/>
  </r>
  <r>
    <s v="ORD200621"/>
    <x v="356"/>
    <x v="620"/>
    <x v="1"/>
    <n v="5"/>
    <n v="476.01"/>
    <s v="146 Main St"/>
    <x v="2"/>
    <x v="3"/>
    <s v="TRK82685594"/>
    <n v="7"/>
    <s v="WINTER15"/>
    <x v="4"/>
    <n v="2380.0500000000002"/>
  </r>
  <r>
    <s v="ORD200622"/>
    <x v="461"/>
    <x v="621"/>
    <x v="6"/>
    <n v="5"/>
    <n v="236.38"/>
    <s v="128 Main St"/>
    <x v="2"/>
    <x v="2"/>
    <s v="TRK89314307"/>
    <n v="7"/>
    <s v="None"/>
    <x v="3"/>
    <n v="1181.9000000000001"/>
  </r>
  <r>
    <s v="ORD200623"/>
    <x v="379"/>
    <x v="622"/>
    <x v="4"/>
    <n v="3"/>
    <n v="396"/>
    <s v="269 Main St"/>
    <x v="3"/>
    <x v="1"/>
    <s v="TRK21330732"/>
    <n v="4"/>
    <s v="FREESHIP"/>
    <x v="0"/>
    <n v="1188"/>
  </r>
  <r>
    <s v="ORD200624"/>
    <x v="462"/>
    <x v="623"/>
    <x v="2"/>
    <n v="5"/>
    <n v="341.96"/>
    <s v="747 Main St"/>
    <x v="0"/>
    <x v="3"/>
    <s v="TRK88559278"/>
    <n v="6"/>
    <s v="None"/>
    <x v="2"/>
    <n v="1709.8"/>
  </r>
  <r>
    <s v="ORD200625"/>
    <x v="463"/>
    <x v="624"/>
    <x v="2"/>
    <n v="1"/>
    <n v="672.89"/>
    <s v="519 Main St"/>
    <x v="2"/>
    <x v="4"/>
    <s v="TRK43250279"/>
    <n v="1"/>
    <s v="WINTER15"/>
    <x v="2"/>
    <n v="672.89"/>
  </r>
  <r>
    <s v="ORD200626"/>
    <x v="417"/>
    <x v="625"/>
    <x v="2"/>
    <n v="2"/>
    <n v="657.48"/>
    <s v="769 Main St"/>
    <x v="1"/>
    <x v="0"/>
    <s v="TRK18179773"/>
    <n v="5"/>
    <s v="SAVE10"/>
    <x v="1"/>
    <n v="1314.96"/>
  </r>
  <r>
    <s v="ORD200627"/>
    <x v="464"/>
    <x v="626"/>
    <x v="3"/>
    <n v="3"/>
    <n v="498.68"/>
    <s v="879 Main St"/>
    <x v="1"/>
    <x v="2"/>
    <s v="TRK31724421"/>
    <n v="4"/>
    <s v="FREESHIP"/>
    <x v="2"/>
    <n v="1496.04"/>
  </r>
  <r>
    <s v="ORD200628"/>
    <x v="465"/>
    <x v="627"/>
    <x v="4"/>
    <n v="5"/>
    <n v="558.63"/>
    <s v="861 Main St"/>
    <x v="4"/>
    <x v="4"/>
    <s v="TRK58568806"/>
    <n v="8"/>
    <s v="FREESHIP"/>
    <x v="1"/>
    <n v="2793.15"/>
  </r>
  <r>
    <s v="ORD200629"/>
    <x v="466"/>
    <x v="628"/>
    <x v="1"/>
    <n v="3"/>
    <n v="19.73"/>
    <s v="840 Main St"/>
    <x v="1"/>
    <x v="4"/>
    <s v="TRK91836131"/>
    <n v="3"/>
    <s v="None"/>
    <x v="1"/>
    <n v="59.19"/>
  </r>
  <r>
    <s v="ORD200630"/>
    <x v="467"/>
    <x v="629"/>
    <x v="0"/>
    <n v="5"/>
    <n v="248.84"/>
    <s v="140 Main St"/>
    <x v="0"/>
    <x v="1"/>
    <s v="TRK33437701"/>
    <n v="10"/>
    <s v="None"/>
    <x v="0"/>
    <n v="1244.2"/>
  </r>
  <r>
    <s v="ORD200631"/>
    <x v="169"/>
    <x v="630"/>
    <x v="3"/>
    <n v="3"/>
    <n v="46.11"/>
    <s v="360 Main St"/>
    <x v="3"/>
    <x v="2"/>
    <s v="TRK32426808"/>
    <n v="5"/>
    <s v="WINTER15"/>
    <x v="1"/>
    <n v="138.32999999999998"/>
  </r>
  <r>
    <s v="ORD200632"/>
    <x v="468"/>
    <x v="631"/>
    <x v="5"/>
    <n v="5"/>
    <n v="678.16"/>
    <s v="463 Main St"/>
    <x v="3"/>
    <x v="3"/>
    <s v="TRK38229104"/>
    <n v="7"/>
    <s v="WINTER15"/>
    <x v="3"/>
    <n v="3390.7999999999997"/>
  </r>
  <r>
    <s v="ORD200633"/>
    <x v="294"/>
    <x v="632"/>
    <x v="5"/>
    <n v="5"/>
    <n v="601.72"/>
    <s v="921 Main St"/>
    <x v="3"/>
    <x v="1"/>
    <s v="TRK54711422"/>
    <n v="5"/>
    <s v="WINTER15"/>
    <x v="0"/>
    <n v="3008.6000000000004"/>
  </r>
  <r>
    <s v="ORD200634"/>
    <x v="313"/>
    <x v="633"/>
    <x v="4"/>
    <n v="2"/>
    <n v="259.32"/>
    <s v="117 Main St"/>
    <x v="3"/>
    <x v="3"/>
    <s v="TRK31633755"/>
    <n v="2"/>
    <s v="WINTER15"/>
    <x v="1"/>
    <n v="518.64"/>
  </r>
  <r>
    <s v="ORD200635"/>
    <x v="141"/>
    <x v="634"/>
    <x v="3"/>
    <n v="3"/>
    <n v="63.68"/>
    <s v="434 Main St"/>
    <x v="4"/>
    <x v="2"/>
    <s v="TRK40879983"/>
    <n v="6"/>
    <s v="None"/>
    <x v="3"/>
    <n v="191.04"/>
  </r>
  <r>
    <s v="ORD200636"/>
    <x v="469"/>
    <x v="635"/>
    <x v="5"/>
    <n v="4"/>
    <n v="371.07"/>
    <s v="336 Main St"/>
    <x v="4"/>
    <x v="1"/>
    <s v="TRK92080037"/>
    <n v="7"/>
    <s v="WINTER15"/>
    <x v="3"/>
    <n v="1484.28"/>
  </r>
  <r>
    <s v="ORD200637"/>
    <x v="470"/>
    <x v="636"/>
    <x v="3"/>
    <n v="4"/>
    <n v="306.35000000000002"/>
    <s v="784 Main St"/>
    <x v="3"/>
    <x v="0"/>
    <s v="TRK23585765"/>
    <n v="7"/>
    <s v="WINTER15"/>
    <x v="1"/>
    <n v="1225.4000000000001"/>
  </r>
  <r>
    <s v="ORD200638"/>
    <x v="3"/>
    <x v="637"/>
    <x v="2"/>
    <n v="4"/>
    <n v="578.27"/>
    <s v="547 Main St"/>
    <x v="1"/>
    <x v="3"/>
    <s v="TRK76929637"/>
    <n v="9"/>
    <s v="WINTER15"/>
    <x v="2"/>
    <n v="2313.08"/>
  </r>
  <r>
    <s v="ORD200639"/>
    <x v="325"/>
    <x v="638"/>
    <x v="3"/>
    <n v="1"/>
    <n v="529.19000000000005"/>
    <s v="391 Main St"/>
    <x v="4"/>
    <x v="1"/>
    <s v="TRK17415798"/>
    <n v="5"/>
    <s v="None"/>
    <x v="1"/>
    <n v="529.19000000000005"/>
  </r>
  <r>
    <s v="ORD200640"/>
    <x v="2"/>
    <x v="639"/>
    <x v="3"/>
    <n v="2"/>
    <n v="587.49"/>
    <s v="647 Main St"/>
    <x v="3"/>
    <x v="2"/>
    <s v="TRK24241664"/>
    <n v="6"/>
    <s v="SAVE10"/>
    <x v="1"/>
    <n v="1174.98"/>
  </r>
  <r>
    <s v="ORD200641"/>
    <x v="471"/>
    <x v="640"/>
    <x v="4"/>
    <n v="4"/>
    <n v="567.57000000000005"/>
    <s v="814 Main St"/>
    <x v="0"/>
    <x v="4"/>
    <s v="TRK47386650"/>
    <n v="9"/>
    <s v="WINTER15"/>
    <x v="4"/>
    <n v="2270.2800000000002"/>
  </r>
  <r>
    <s v="ORD200642"/>
    <x v="472"/>
    <x v="641"/>
    <x v="3"/>
    <n v="5"/>
    <n v="85.22"/>
    <s v="527 Main St"/>
    <x v="2"/>
    <x v="1"/>
    <s v="TRK10329390"/>
    <n v="7"/>
    <s v="FREESHIP"/>
    <x v="2"/>
    <n v="426.1"/>
  </r>
  <r>
    <s v="ORD200643"/>
    <x v="360"/>
    <x v="642"/>
    <x v="5"/>
    <n v="1"/>
    <n v="438.37"/>
    <s v="647 Main St"/>
    <x v="4"/>
    <x v="1"/>
    <s v="TRK75814880"/>
    <n v="4"/>
    <s v="SAVE10"/>
    <x v="1"/>
    <n v="438.37"/>
  </r>
  <r>
    <s v="ORD200644"/>
    <x v="375"/>
    <x v="643"/>
    <x v="3"/>
    <n v="2"/>
    <n v="366.23"/>
    <s v="961 Main St"/>
    <x v="4"/>
    <x v="0"/>
    <s v="TRK62490506"/>
    <n v="2"/>
    <s v="WINTER15"/>
    <x v="2"/>
    <n v="732.46"/>
  </r>
  <r>
    <s v="ORD200645"/>
    <x v="315"/>
    <x v="644"/>
    <x v="5"/>
    <n v="2"/>
    <n v="150.05000000000001"/>
    <s v="727 Main St"/>
    <x v="2"/>
    <x v="1"/>
    <s v="TRK68574801"/>
    <n v="4"/>
    <s v="SAVE10"/>
    <x v="3"/>
    <n v="300.10000000000002"/>
  </r>
  <r>
    <s v="ORD200646"/>
    <x v="122"/>
    <x v="645"/>
    <x v="3"/>
    <n v="4"/>
    <n v="498.51"/>
    <s v="804 Main St"/>
    <x v="0"/>
    <x v="0"/>
    <s v="TRK43262630"/>
    <n v="4"/>
    <s v="SAVE10"/>
    <x v="4"/>
    <n v="1994.04"/>
  </r>
  <r>
    <s v="ORD200647"/>
    <x v="473"/>
    <x v="646"/>
    <x v="6"/>
    <n v="3"/>
    <n v="339.39"/>
    <s v="667 Main St"/>
    <x v="4"/>
    <x v="2"/>
    <s v="TRK67671316"/>
    <n v="7"/>
    <s v="FREESHIP"/>
    <x v="4"/>
    <n v="1018.17"/>
  </r>
  <r>
    <s v="ORD200648"/>
    <x v="474"/>
    <x v="647"/>
    <x v="0"/>
    <n v="2"/>
    <n v="575.83000000000004"/>
    <s v="182 Main St"/>
    <x v="1"/>
    <x v="3"/>
    <s v="TRK45902512"/>
    <n v="3"/>
    <s v="WINTER15"/>
    <x v="1"/>
    <n v="1151.6600000000001"/>
  </r>
  <r>
    <s v="ORD200649"/>
    <x v="475"/>
    <x v="648"/>
    <x v="0"/>
    <n v="2"/>
    <n v="642.98"/>
    <s v="153 Main St"/>
    <x v="0"/>
    <x v="2"/>
    <s v="TRK32932093"/>
    <n v="7"/>
    <s v="FREESHIP"/>
    <x v="2"/>
    <n v="1285.96"/>
  </r>
  <r>
    <s v="ORD200650"/>
    <x v="419"/>
    <x v="649"/>
    <x v="6"/>
    <n v="2"/>
    <n v="372.23"/>
    <s v="518 Main St"/>
    <x v="3"/>
    <x v="3"/>
    <s v="TRK93767278"/>
    <n v="7"/>
    <s v="SAVE10"/>
    <x v="2"/>
    <n v="744.46"/>
  </r>
  <r>
    <s v="ORD200651"/>
    <x v="476"/>
    <x v="650"/>
    <x v="3"/>
    <n v="3"/>
    <n v="646.34"/>
    <s v="429 Main St"/>
    <x v="0"/>
    <x v="4"/>
    <s v="TRK76931118"/>
    <n v="5"/>
    <s v="None"/>
    <x v="4"/>
    <n v="1939.02"/>
  </r>
  <r>
    <s v="ORD200652"/>
    <x v="477"/>
    <x v="651"/>
    <x v="3"/>
    <n v="5"/>
    <n v="341.84"/>
    <s v="328 Main St"/>
    <x v="1"/>
    <x v="0"/>
    <s v="TRK94857335"/>
    <n v="8"/>
    <s v="FREESHIP"/>
    <x v="0"/>
    <n v="1709.1999999999998"/>
  </r>
  <r>
    <s v="ORD200653"/>
    <x v="402"/>
    <x v="652"/>
    <x v="4"/>
    <n v="3"/>
    <n v="690.3"/>
    <s v="747 Main St"/>
    <x v="2"/>
    <x v="0"/>
    <s v="TRK12902764"/>
    <n v="6"/>
    <s v="WINTER15"/>
    <x v="4"/>
    <n v="2070.8999999999996"/>
  </r>
  <r>
    <s v="ORD200654"/>
    <x v="439"/>
    <x v="653"/>
    <x v="2"/>
    <n v="3"/>
    <n v="382.37"/>
    <s v="863 Main St"/>
    <x v="0"/>
    <x v="2"/>
    <s v="TRK25748100"/>
    <n v="8"/>
    <s v="None"/>
    <x v="0"/>
    <n v="1147.1100000000001"/>
  </r>
  <r>
    <s v="ORD200655"/>
    <x v="369"/>
    <x v="654"/>
    <x v="3"/>
    <n v="2"/>
    <n v="132.6"/>
    <s v="262 Main St"/>
    <x v="0"/>
    <x v="1"/>
    <s v="TRK70711522"/>
    <n v="4"/>
    <s v="WINTER15"/>
    <x v="2"/>
    <n v="265.2"/>
  </r>
  <r>
    <s v="ORD200656"/>
    <x v="343"/>
    <x v="655"/>
    <x v="0"/>
    <n v="2"/>
    <n v="189.06"/>
    <s v="835 Main St"/>
    <x v="3"/>
    <x v="0"/>
    <s v="TRK85682500"/>
    <n v="7"/>
    <s v="SAVE10"/>
    <x v="3"/>
    <n v="378.12"/>
  </r>
  <r>
    <s v="ORD200657"/>
    <x v="478"/>
    <x v="656"/>
    <x v="2"/>
    <n v="4"/>
    <n v="87.79"/>
    <s v="532 Main St"/>
    <x v="4"/>
    <x v="1"/>
    <s v="TRK33207064"/>
    <n v="6"/>
    <s v="FREESHIP"/>
    <x v="0"/>
    <n v="351.16"/>
  </r>
  <r>
    <s v="ORD200658"/>
    <x v="479"/>
    <x v="657"/>
    <x v="4"/>
    <n v="2"/>
    <n v="46.36"/>
    <s v="670 Main St"/>
    <x v="3"/>
    <x v="2"/>
    <s v="TRK15323191"/>
    <n v="4"/>
    <s v="SAVE10"/>
    <x v="4"/>
    <n v="92.72"/>
  </r>
  <r>
    <s v="ORD200659"/>
    <x v="480"/>
    <x v="658"/>
    <x v="1"/>
    <n v="2"/>
    <n v="642.04"/>
    <s v="964 Main St"/>
    <x v="3"/>
    <x v="3"/>
    <s v="TRK55000075"/>
    <n v="4"/>
    <s v="WINTER15"/>
    <x v="2"/>
    <n v="1284.08"/>
  </r>
  <r>
    <s v="ORD200660"/>
    <x v="481"/>
    <x v="659"/>
    <x v="3"/>
    <n v="2"/>
    <n v="651.57000000000005"/>
    <s v="933 Main St"/>
    <x v="0"/>
    <x v="0"/>
    <s v="TRK54084424"/>
    <n v="7"/>
    <s v="WINTER15"/>
    <x v="3"/>
    <n v="1303.1400000000001"/>
  </r>
  <r>
    <s v="ORD200661"/>
    <x v="252"/>
    <x v="660"/>
    <x v="2"/>
    <n v="3"/>
    <n v="424.89"/>
    <s v="116 Main St"/>
    <x v="0"/>
    <x v="1"/>
    <s v="TRK86378984"/>
    <n v="6"/>
    <s v="FREESHIP"/>
    <x v="4"/>
    <n v="1274.67"/>
  </r>
  <r>
    <s v="ORD200662"/>
    <x v="423"/>
    <x v="661"/>
    <x v="5"/>
    <n v="3"/>
    <n v="438.89"/>
    <s v="985 Main St"/>
    <x v="4"/>
    <x v="2"/>
    <s v="TRK85744797"/>
    <n v="3"/>
    <s v="None"/>
    <x v="3"/>
    <n v="1316.67"/>
  </r>
  <r>
    <s v="ORD200663"/>
    <x v="116"/>
    <x v="662"/>
    <x v="0"/>
    <n v="1"/>
    <n v="72.599999999999994"/>
    <s v="941 Main St"/>
    <x v="0"/>
    <x v="1"/>
    <s v="TRK87635135"/>
    <n v="6"/>
    <s v="FREESHIP"/>
    <x v="0"/>
    <n v="72.599999999999994"/>
  </r>
  <r>
    <s v="ORD200664"/>
    <x v="36"/>
    <x v="236"/>
    <x v="5"/>
    <n v="4"/>
    <n v="194.75"/>
    <s v="188 Main St"/>
    <x v="4"/>
    <x v="0"/>
    <s v="TRK46492755"/>
    <n v="5"/>
    <s v="None"/>
    <x v="3"/>
    <n v="779"/>
  </r>
  <r>
    <s v="ORD200665"/>
    <x v="468"/>
    <x v="663"/>
    <x v="2"/>
    <n v="4"/>
    <n v="231.26"/>
    <s v="253 Main St"/>
    <x v="1"/>
    <x v="0"/>
    <s v="TRK32619935"/>
    <n v="6"/>
    <s v="WINTER15"/>
    <x v="4"/>
    <n v="925.04"/>
  </r>
  <r>
    <s v="ORD200666"/>
    <x v="169"/>
    <x v="664"/>
    <x v="0"/>
    <n v="4"/>
    <n v="327.12"/>
    <s v="788 Main St"/>
    <x v="2"/>
    <x v="1"/>
    <s v="TRK45281495"/>
    <n v="4"/>
    <s v="None"/>
    <x v="2"/>
    <n v="1308.48"/>
  </r>
  <r>
    <s v="ORD200667"/>
    <x v="71"/>
    <x v="665"/>
    <x v="5"/>
    <n v="1"/>
    <n v="466.42"/>
    <s v="172 Main St"/>
    <x v="3"/>
    <x v="4"/>
    <s v="TRK41505339"/>
    <n v="5"/>
    <s v="SAVE10"/>
    <x v="2"/>
    <n v="466.42"/>
  </r>
  <r>
    <s v="ORD200668"/>
    <x v="482"/>
    <x v="666"/>
    <x v="0"/>
    <n v="2"/>
    <n v="253.67"/>
    <s v="981 Main St"/>
    <x v="4"/>
    <x v="2"/>
    <s v="TRK25226070"/>
    <n v="3"/>
    <s v="WINTER15"/>
    <x v="3"/>
    <n v="507.34"/>
  </r>
  <r>
    <s v="ORD200669"/>
    <x v="483"/>
    <x v="667"/>
    <x v="6"/>
    <n v="1"/>
    <n v="257"/>
    <s v="812 Main St"/>
    <x v="0"/>
    <x v="1"/>
    <s v="TRK65694249"/>
    <n v="5"/>
    <s v="None"/>
    <x v="1"/>
    <n v="257"/>
  </r>
  <r>
    <s v="ORD200670"/>
    <x v="171"/>
    <x v="668"/>
    <x v="6"/>
    <n v="4"/>
    <n v="539.20000000000005"/>
    <s v="747 Main St"/>
    <x v="2"/>
    <x v="4"/>
    <s v="TRK21637540"/>
    <n v="8"/>
    <s v="FREESHIP"/>
    <x v="4"/>
    <n v="2156.8000000000002"/>
  </r>
  <r>
    <s v="ORD200671"/>
    <x v="484"/>
    <x v="669"/>
    <x v="3"/>
    <n v="5"/>
    <n v="50.74"/>
    <s v="737 Main St"/>
    <x v="3"/>
    <x v="1"/>
    <s v="TRK88653901"/>
    <n v="7"/>
    <s v="WINTER15"/>
    <x v="4"/>
    <n v="253.70000000000002"/>
  </r>
  <r>
    <s v="ORD200672"/>
    <x v="221"/>
    <x v="670"/>
    <x v="1"/>
    <n v="2"/>
    <n v="624.16"/>
    <s v="984 Main St"/>
    <x v="0"/>
    <x v="0"/>
    <s v="TRK71009446"/>
    <n v="2"/>
    <s v="SAVE10"/>
    <x v="0"/>
    <n v="1248.32"/>
  </r>
  <r>
    <s v="ORD200673"/>
    <x v="485"/>
    <x v="671"/>
    <x v="2"/>
    <n v="2"/>
    <n v="372.92"/>
    <s v="131 Main St"/>
    <x v="2"/>
    <x v="3"/>
    <s v="TRK95024356"/>
    <n v="7"/>
    <s v="SAVE10"/>
    <x v="2"/>
    <n v="745.84"/>
  </r>
  <r>
    <s v="ORD200674"/>
    <x v="486"/>
    <x v="672"/>
    <x v="5"/>
    <n v="4"/>
    <n v="358.75"/>
    <s v="860 Main St"/>
    <x v="3"/>
    <x v="3"/>
    <s v="TRK57792939"/>
    <n v="9"/>
    <s v="SAVE10"/>
    <x v="3"/>
    <n v="1435"/>
  </r>
  <r>
    <s v="ORD200675"/>
    <x v="76"/>
    <x v="673"/>
    <x v="6"/>
    <n v="3"/>
    <n v="342.02"/>
    <s v="906 Main St"/>
    <x v="0"/>
    <x v="4"/>
    <s v="TRK90233116"/>
    <n v="5"/>
    <s v="None"/>
    <x v="2"/>
    <n v="1026.06"/>
  </r>
  <r>
    <s v="ORD200676"/>
    <x v="127"/>
    <x v="674"/>
    <x v="5"/>
    <n v="2"/>
    <n v="422.34"/>
    <s v="985 Main St"/>
    <x v="2"/>
    <x v="1"/>
    <s v="TRK44151723"/>
    <n v="4"/>
    <s v="FREESHIP"/>
    <x v="0"/>
    <n v="844.68"/>
  </r>
  <r>
    <s v="ORD200677"/>
    <x v="487"/>
    <x v="675"/>
    <x v="2"/>
    <n v="5"/>
    <n v="22.07"/>
    <s v="179 Main St"/>
    <x v="1"/>
    <x v="1"/>
    <s v="TRK78778569"/>
    <n v="7"/>
    <s v="FREESHIP"/>
    <x v="0"/>
    <n v="110.35"/>
  </r>
  <r>
    <s v="ORD200678"/>
    <x v="167"/>
    <x v="676"/>
    <x v="3"/>
    <n v="3"/>
    <n v="163.13"/>
    <s v="457 Main St"/>
    <x v="3"/>
    <x v="0"/>
    <s v="TRK20553345"/>
    <n v="5"/>
    <s v="WINTER15"/>
    <x v="3"/>
    <n v="489.39"/>
  </r>
  <r>
    <s v="ORD200679"/>
    <x v="488"/>
    <x v="677"/>
    <x v="2"/>
    <n v="3"/>
    <n v="360.66"/>
    <s v="304 Main St"/>
    <x v="1"/>
    <x v="2"/>
    <s v="TRK66106697"/>
    <n v="5"/>
    <s v="FREESHIP"/>
    <x v="0"/>
    <n v="1081.98"/>
  </r>
  <r>
    <s v="ORD200680"/>
    <x v="183"/>
    <x v="678"/>
    <x v="0"/>
    <n v="3"/>
    <n v="463.39"/>
    <s v="694 Main St"/>
    <x v="2"/>
    <x v="2"/>
    <s v="TRK16953491"/>
    <n v="3"/>
    <s v="None"/>
    <x v="3"/>
    <n v="1390.17"/>
  </r>
  <r>
    <s v="ORD200681"/>
    <x v="489"/>
    <x v="679"/>
    <x v="2"/>
    <n v="1"/>
    <n v="155.27000000000001"/>
    <s v="548 Main St"/>
    <x v="0"/>
    <x v="0"/>
    <s v="TRK47300502"/>
    <n v="6"/>
    <s v="None"/>
    <x v="2"/>
    <n v="155.27000000000001"/>
  </r>
  <r>
    <s v="ORD200682"/>
    <x v="363"/>
    <x v="680"/>
    <x v="0"/>
    <n v="3"/>
    <n v="509.42"/>
    <s v="449 Main St"/>
    <x v="2"/>
    <x v="1"/>
    <s v="TRK91729086"/>
    <n v="5"/>
    <s v="FREESHIP"/>
    <x v="4"/>
    <n v="1528.26"/>
  </r>
  <r>
    <s v="ORD200683"/>
    <x v="490"/>
    <x v="681"/>
    <x v="6"/>
    <n v="4"/>
    <n v="652.48"/>
    <s v="887 Main St"/>
    <x v="4"/>
    <x v="4"/>
    <s v="TRK23554043"/>
    <n v="5"/>
    <s v="FREESHIP"/>
    <x v="0"/>
    <n v="2609.92"/>
  </r>
  <r>
    <s v="ORD200684"/>
    <x v="491"/>
    <x v="682"/>
    <x v="4"/>
    <n v="4"/>
    <n v="34.840000000000003"/>
    <s v="288 Main St"/>
    <x v="2"/>
    <x v="0"/>
    <s v="TRK64353241"/>
    <n v="8"/>
    <s v="None"/>
    <x v="2"/>
    <n v="139.36000000000001"/>
  </r>
  <r>
    <s v="ORD200685"/>
    <x v="492"/>
    <x v="683"/>
    <x v="6"/>
    <n v="1"/>
    <n v="234.37"/>
    <s v="638 Main St"/>
    <x v="0"/>
    <x v="0"/>
    <s v="TRK10276565"/>
    <n v="5"/>
    <s v="FREESHIP"/>
    <x v="2"/>
    <n v="234.37"/>
  </r>
  <r>
    <s v="ORD200686"/>
    <x v="112"/>
    <x v="684"/>
    <x v="6"/>
    <n v="3"/>
    <n v="53.6"/>
    <s v="525 Main St"/>
    <x v="4"/>
    <x v="4"/>
    <s v="TRK59112382"/>
    <n v="4"/>
    <s v="WINTER15"/>
    <x v="3"/>
    <n v="160.80000000000001"/>
  </r>
  <r>
    <s v="ORD200687"/>
    <x v="493"/>
    <x v="685"/>
    <x v="2"/>
    <n v="1"/>
    <n v="332.09"/>
    <s v="408 Main St"/>
    <x v="3"/>
    <x v="2"/>
    <s v="TRK68845230"/>
    <n v="5"/>
    <s v="FREESHIP"/>
    <x v="0"/>
    <n v="332.09"/>
  </r>
  <r>
    <s v="ORD200688"/>
    <x v="26"/>
    <x v="686"/>
    <x v="0"/>
    <n v="4"/>
    <n v="593.22"/>
    <s v="154 Main St"/>
    <x v="2"/>
    <x v="1"/>
    <s v="TRK36415742"/>
    <n v="8"/>
    <s v="WINTER15"/>
    <x v="3"/>
    <n v="2372.88"/>
  </r>
  <r>
    <s v="ORD200689"/>
    <x v="193"/>
    <x v="687"/>
    <x v="2"/>
    <n v="2"/>
    <n v="444.84"/>
    <s v="787 Main St"/>
    <x v="1"/>
    <x v="0"/>
    <s v="TRK56967415"/>
    <n v="7"/>
    <s v="None"/>
    <x v="3"/>
    <n v="889.68"/>
  </r>
  <r>
    <s v="ORD200690"/>
    <x v="494"/>
    <x v="688"/>
    <x v="0"/>
    <n v="1"/>
    <n v="24.48"/>
    <s v="128 Main St"/>
    <x v="3"/>
    <x v="2"/>
    <s v="TRK88666721"/>
    <n v="1"/>
    <s v="None"/>
    <x v="0"/>
    <n v="24.48"/>
  </r>
  <r>
    <s v="ORD200691"/>
    <x v="167"/>
    <x v="689"/>
    <x v="5"/>
    <n v="3"/>
    <n v="239.08"/>
    <s v="396 Main St"/>
    <x v="4"/>
    <x v="0"/>
    <s v="TRK57376416"/>
    <n v="8"/>
    <s v="None"/>
    <x v="4"/>
    <n v="717.24"/>
  </r>
  <r>
    <s v="ORD200692"/>
    <x v="19"/>
    <x v="690"/>
    <x v="6"/>
    <n v="5"/>
    <n v="196.84"/>
    <s v="319 Main St"/>
    <x v="2"/>
    <x v="3"/>
    <s v="TRK68347402"/>
    <n v="5"/>
    <s v="WINTER15"/>
    <x v="0"/>
    <n v="984.2"/>
  </r>
  <r>
    <s v="ORD200693"/>
    <x v="495"/>
    <x v="691"/>
    <x v="0"/>
    <n v="1"/>
    <n v="176.58"/>
    <s v="674 Main St"/>
    <x v="0"/>
    <x v="2"/>
    <s v="TRK10267127"/>
    <n v="4"/>
    <s v="None"/>
    <x v="1"/>
    <n v="176.58"/>
  </r>
  <r>
    <s v="ORD200694"/>
    <x v="276"/>
    <x v="692"/>
    <x v="4"/>
    <n v="4"/>
    <n v="666.52"/>
    <s v="619 Main St"/>
    <x v="4"/>
    <x v="0"/>
    <s v="TRK32287092"/>
    <n v="8"/>
    <s v="FREESHIP"/>
    <x v="2"/>
    <n v="2666.08"/>
  </r>
  <r>
    <s v="ORD200695"/>
    <x v="432"/>
    <x v="693"/>
    <x v="4"/>
    <n v="5"/>
    <n v="101.3"/>
    <s v="553 Main St"/>
    <x v="1"/>
    <x v="0"/>
    <s v="TRK48839788"/>
    <n v="7"/>
    <s v="FREESHIP"/>
    <x v="2"/>
    <n v="506.5"/>
  </r>
  <r>
    <s v="ORD200696"/>
    <x v="226"/>
    <x v="694"/>
    <x v="3"/>
    <n v="4"/>
    <n v="151.19999999999999"/>
    <s v="965 Main St"/>
    <x v="3"/>
    <x v="4"/>
    <s v="TRK38572927"/>
    <n v="9"/>
    <s v="WINTER15"/>
    <x v="3"/>
    <n v="604.79999999999995"/>
  </r>
  <r>
    <s v="ORD200697"/>
    <x v="496"/>
    <x v="695"/>
    <x v="4"/>
    <n v="5"/>
    <n v="94.85"/>
    <s v="788 Main St"/>
    <x v="4"/>
    <x v="0"/>
    <s v="TRK45025840"/>
    <n v="6"/>
    <s v="WINTER15"/>
    <x v="2"/>
    <n v="474.25"/>
  </r>
  <r>
    <s v="ORD200698"/>
    <x v="0"/>
    <x v="696"/>
    <x v="5"/>
    <n v="2"/>
    <n v="388.22"/>
    <s v="169 Main St"/>
    <x v="4"/>
    <x v="3"/>
    <s v="TRK48658394"/>
    <n v="2"/>
    <s v="WINTER15"/>
    <x v="0"/>
    <n v="776.44"/>
  </r>
  <r>
    <s v="ORD200699"/>
    <x v="497"/>
    <x v="697"/>
    <x v="5"/>
    <n v="3"/>
    <n v="614.15"/>
    <s v="897 Main St"/>
    <x v="3"/>
    <x v="1"/>
    <s v="TRK84088900"/>
    <n v="3"/>
    <s v="None"/>
    <x v="3"/>
    <n v="1842.4499999999998"/>
  </r>
  <r>
    <s v="ORD200700"/>
    <x v="498"/>
    <x v="698"/>
    <x v="5"/>
    <n v="2"/>
    <n v="92.91"/>
    <s v="555 Main St"/>
    <x v="4"/>
    <x v="2"/>
    <s v="TRK30198779"/>
    <n v="3"/>
    <s v="WINTER15"/>
    <x v="0"/>
    <n v="185.82"/>
  </r>
  <r>
    <s v="ORD200701"/>
    <x v="499"/>
    <x v="699"/>
    <x v="0"/>
    <n v="3"/>
    <n v="92.22"/>
    <s v="115 Main St"/>
    <x v="2"/>
    <x v="3"/>
    <s v="TRK90519490"/>
    <n v="5"/>
    <s v="FREESHIP"/>
    <x v="2"/>
    <n v="276.65999999999997"/>
  </r>
  <r>
    <s v="ORD200702"/>
    <x v="410"/>
    <x v="700"/>
    <x v="4"/>
    <n v="3"/>
    <n v="562.54999999999995"/>
    <s v="154 Main St"/>
    <x v="0"/>
    <x v="2"/>
    <s v="TRK43589369"/>
    <n v="6"/>
    <s v="None"/>
    <x v="2"/>
    <n v="1687.6499999999999"/>
  </r>
  <r>
    <s v="ORD200703"/>
    <x v="500"/>
    <x v="701"/>
    <x v="6"/>
    <n v="1"/>
    <n v="92.79"/>
    <s v="799 Main St"/>
    <x v="4"/>
    <x v="4"/>
    <s v="TRK47665103"/>
    <n v="3"/>
    <s v="WINTER15"/>
    <x v="2"/>
    <n v="92.79"/>
  </r>
  <r>
    <s v="ORD200704"/>
    <x v="301"/>
    <x v="702"/>
    <x v="6"/>
    <n v="4"/>
    <n v="30.27"/>
    <s v="819 Main St"/>
    <x v="1"/>
    <x v="3"/>
    <s v="TRK87261034"/>
    <n v="9"/>
    <s v="FREESHIP"/>
    <x v="4"/>
    <n v="121.08"/>
  </r>
  <r>
    <s v="ORD200705"/>
    <x v="501"/>
    <x v="703"/>
    <x v="0"/>
    <n v="2"/>
    <n v="49.08"/>
    <s v="420 Main St"/>
    <x v="0"/>
    <x v="2"/>
    <s v="TRK20214786"/>
    <n v="7"/>
    <s v="FREESHIP"/>
    <x v="0"/>
    <n v="98.16"/>
  </r>
  <r>
    <s v="ORD200706"/>
    <x v="380"/>
    <x v="704"/>
    <x v="6"/>
    <n v="5"/>
    <n v="228.09"/>
    <s v="969 Main St"/>
    <x v="3"/>
    <x v="2"/>
    <s v="TRK97693301"/>
    <n v="9"/>
    <s v="FREESHIP"/>
    <x v="3"/>
    <n v="1140.45"/>
  </r>
  <r>
    <s v="ORD200707"/>
    <x v="377"/>
    <x v="705"/>
    <x v="3"/>
    <n v="4"/>
    <n v="650.04"/>
    <s v="989 Main St"/>
    <x v="3"/>
    <x v="1"/>
    <s v="TRK17628852"/>
    <n v="6"/>
    <s v="SAVE10"/>
    <x v="3"/>
    <n v="2600.16"/>
  </r>
  <r>
    <s v="ORD200708"/>
    <x v="155"/>
    <x v="706"/>
    <x v="4"/>
    <n v="1"/>
    <n v="665.11"/>
    <s v="788 Main St"/>
    <x v="4"/>
    <x v="4"/>
    <s v="TRK20481215"/>
    <n v="3"/>
    <s v="FREESHIP"/>
    <x v="0"/>
    <n v="665.11"/>
  </r>
  <r>
    <s v="ORD200709"/>
    <x v="34"/>
    <x v="707"/>
    <x v="6"/>
    <n v="1"/>
    <n v="386.03"/>
    <s v="855 Main St"/>
    <x v="1"/>
    <x v="4"/>
    <s v="TRK37504692"/>
    <n v="4"/>
    <s v="FREESHIP"/>
    <x v="4"/>
    <n v="386.03"/>
  </r>
  <r>
    <s v="ORD200710"/>
    <x v="319"/>
    <x v="708"/>
    <x v="5"/>
    <n v="5"/>
    <n v="21.54"/>
    <s v="113 Main St"/>
    <x v="3"/>
    <x v="2"/>
    <s v="TRK19086608"/>
    <n v="10"/>
    <s v="None"/>
    <x v="4"/>
    <n v="107.69999999999999"/>
  </r>
  <r>
    <s v="ORD200711"/>
    <x v="502"/>
    <x v="709"/>
    <x v="2"/>
    <n v="2"/>
    <n v="475.78"/>
    <s v="632 Main St"/>
    <x v="1"/>
    <x v="0"/>
    <s v="TRK90764894"/>
    <n v="2"/>
    <s v="WINTER15"/>
    <x v="4"/>
    <n v="951.56"/>
  </r>
  <r>
    <s v="ORD200712"/>
    <x v="486"/>
    <x v="557"/>
    <x v="2"/>
    <n v="2"/>
    <n v="68.400000000000006"/>
    <s v="993 Main St"/>
    <x v="3"/>
    <x v="4"/>
    <s v="TRK10513339"/>
    <n v="7"/>
    <s v="FREESHIP"/>
    <x v="2"/>
    <n v="136.80000000000001"/>
  </r>
  <r>
    <s v="ORD200713"/>
    <x v="370"/>
    <x v="710"/>
    <x v="2"/>
    <n v="4"/>
    <n v="532.49"/>
    <s v="638 Main St"/>
    <x v="1"/>
    <x v="1"/>
    <s v="TRK31705278"/>
    <n v="6"/>
    <s v="SAVE10"/>
    <x v="3"/>
    <n v="2129.96"/>
  </r>
  <r>
    <s v="ORD200714"/>
    <x v="453"/>
    <x v="711"/>
    <x v="5"/>
    <n v="1"/>
    <n v="51.73"/>
    <s v="278 Main St"/>
    <x v="0"/>
    <x v="4"/>
    <s v="TRK23612847"/>
    <n v="1"/>
    <s v="FREESHIP"/>
    <x v="3"/>
    <n v="51.73"/>
  </r>
  <r>
    <s v="ORD200715"/>
    <x v="503"/>
    <x v="712"/>
    <x v="4"/>
    <n v="3"/>
    <n v="653.63"/>
    <s v="281 Main St"/>
    <x v="1"/>
    <x v="3"/>
    <s v="TRK96161062"/>
    <n v="7"/>
    <s v="FREESHIP"/>
    <x v="2"/>
    <n v="1960.8899999999999"/>
  </r>
  <r>
    <s v="ORD200716"/>
    <x v="136"/>
    <x v="713"/>
    <x v="3"/>
    <n v="3"/>
    <n v="454.29"/>
    <s v="891 Main St"/>
    <x v="2"/>
    <x v="4"/>
    <s v="TRK25466842"/>
    <n v="4"/>
    <s v="WINTER15"/>
    <x v="4"/>
    <n v="1362.8700000000001"/>
  </r>
  <r>
    <s v="ORD200717"/>
    <x v="504"/>
    <x v="714"/>
    <x v="3"/>
    <n v="3"/>
    <n v="122.11"/>
    <s v="707 Main St"/>
    <x v="1"/>
    <x v="3"/>
    <s v="TRK31143760"/>
    <n v="4"/>
    <s v="WINTER15"/>
    <x v="2"/>
    <n v="366.33"/>
  </r>
  <r>
    <s v="ORD200718"/>
    <x v="505"/>
    <x v="715"/>
    <x v="5"/>
    <n v="4"/>
    <n v="64.739999999999995"/>
    <s v="718 Main St"/>
    <x v="3"/>
    <x v="1"/>
    <s v="TRK91791367"/>
    <n v="8"/>
    <s v="SAVE10"/>
    <x v="4"/>
    <n v="258.95999999999998"/>
  </r>
  <r>
    <s v="ORD200719"/>
    <x v="506"/>
    <x v="716"/>
    <x v="5"/>
    <n v="2"/>
    <n v="681.06"/>
    <s v="703 Main St"/>
    <x v="0"/>
    <x v="0"/>
    <s v="TRK86403837"/>
    <n v="3"/>
    <s v="FREESHIP"/>
    <x v="3"/>
    <n v="1362.12"/>
  </r>
  <r>
    <s v="ORD200720"/>
    <x v="507"/>
    <x v="717"/>
    <x v="6"/>
    <n v="5"/>
    <n v="128.94999999999999"/>
    <s v="305 Main St"/>
    <x v="4"/>
    <x v="4"/>
    <s v="TRK98506513"/>
    <n v="10"/>
    <s v="FREESHIP"/>
    <x v="0"/>
    <n v="644.75"/>
  </r>
  <r>
    <s v="ORD200721"/>
    <x v="508"/>
    <x v="718"/>
    <x v="6"/>
    <n v="2"/>
    <n v="118.59"/>
    <s v="890 Main St"/>
    <x v="2"/>
    <x v="3"/>
    <s v="TRK56110689"/>
    <n v="2"/>
    <s v="None"/>
    <x v="2"/>
    <n v="237.18"/>
  </r>
  <r>
    <s v="ORD200722"/>
    <x v="64"/>
    <x v="719"/>
    <x v="4"/>
    <n v="1"/>
    <n v="95.1"/>
    <s v="516 Main St"/>
    <x v="3"/>
    <x v="4"/>
    <s v="TRK49719458"/>
    <n v="1"/>
    <s v="WINTER15"/>
    <x v="0"/>
    <n v="95.1"/>
  </r>
  <r>
    <s v="ORD200723"/>
    <x v="509"/>
    <x v="720"/>
    <x v="6"/>
    <n v="3"/>
    <n v="54.95"/>
    <s v="385 Main St"/>
    <x v="4"/>
    <x v="2"/>
    <s v="TRK50933724"/>
    <n v="8"/>
    <s v="SAVE10"/>
    <x v="1"/>
    <n v="164.85000000000002"/>
  </r>
  <r>
    <s v="ORD200724"/>
    <x v="266"/>
    <x v="721"/>
    <x v="4"/>
    <n v="3"/>
    <n v="136.97"/>
    <s v="326 Main St"/>
    <x v="2"/>
    <x v="2"/>
    <s v="TRK19348078"/>
    <n v="4"/>
    <s v="FREESHIP"/>
    <x v="1"/>
    <n v="410.90999999999997"/>
  </r>
  <r>
    <s v="ORD200725"/>
    <x v="255"/>
    <x v="722"/>
    <x v="3"/>
    <n v="2"/>
    <n v="194.85"/>
    <s v="372 Main St"/>
    <x v="3"/>
    <x v="2"/>
    <s v="TRK45670926"/>
    <n v="5"/>
    <s v="None"/>
    <x v="1"/>
    <n v="389.7"/>
  </r>
  <r>
    <s v="ORD200726"/>
    <x v="510"/>
    <x v="723"/>
    <x v="5"/>
    <n v="4"/>
    <n v="583.02"/>
    <s v="338 Main St"/>
    <x v="1"/>
    <x v="3"/>
    <s v="TRK94006117"/>
    <n v="4"/>
    <s v="FREESHIP"/>
    <x v="3"/>
    <n v="2332.08"/>
  </r>
  <r>
    <s v="ORD200727"/>
    <x v="470"/>
    <x v="724"/>
    <x v="3"/>
    <n v="5"/>
    <n v="95.75"/>
    <s v="379 Main St"/>
    <x v="1"/>
    <x v="0"/>
    <s v="TRK92745947"/>
    <n v="8"/>
    <s v="SAVE10"/>
    <x v="0"/>
    <n v="478.75"/>
  </r>
  <r>
    <s v="ORD200728"/>
    <x v="511"/>
    <x v="725"/>
    <x v="6"/>
    <n v="4"/>
    <n v="325.76"/>
    <s v="827 Main St"/>
    <x v="3"/>
    <x v="0"/>
    <s v="TRK79793300"/>
    <n v="8"/>
    <s v="WINTER15"/>
    <x v="2"/>
    <n v="1303.04"/>
  </r>
  <r>
    <s v="ORD200729"/>
    <x v="102"/>
    <x v="726"/>
    <x v="1"/>
    <n v="4"/>
    <n v="186.41"/>
    <s v="819 Main St"/>
    <x v="3"/>
    <x v="4"/>
    <s v="TRK92794872"/>
    <n v="6"/>
    <s v="SAVE10"/>
    <x v="4"/>
    <n v="745.64"/>
  </r>
  <r>
    <s v="ORD200730"/>
    <x v="512"/>
    <x v="727"/>
    <x v="1"/>
    <n v="1"/>
    <n v="474.6"/>
    <s v="407 Main St"/>
    <x v="0"/>
    <x v="3"/>
    <s v="TRK91943923"/>
    <n v="4"/>
    <s v="SAVE10"/>
    <x v="2"/>
    <n v="474.6"/>
  </r>
  <r>
    <s v="ORD200731"/>
    <x v="267"/>
    <x v="728"/>
    <x v="4"/>
    <n v="5"/>
    <n v="584.46"/>
    <s v="308 Main St"/>
    <x v="2"/>
    <x v="2"/>
    <s v="TRK48292586"/>
    <n v="8"/>
    <s v="None"/>
    <x v="2"/>
    <n v="2922.3"/>
  </r>
  <r>
    <s v="ORD200732"/>
    <x v="456"/>
    <x v="729"/>
    <x v="5"/>
    <n v="1"/>
    <n v="132.05000000000001"/>
    <s v="787 Main St"/>
    <x v="1"/>
    <x v="3"/>
    <s v="TRK42187776"/>
    <n v="2"/>
    <s v="None"/>
    <x v="4"/>
    <n v="132.05000000000001"/>
  </r>
  <r>
    <s v="ORD200733"/>
    <x v="513"/>
    <x v="730"/>
    <x v="2"/>
    <n v="4"/>
    <n v="494.84"/>
    <s v="694 Main St"/>
    <x v="4"/>
    <x v="2"/>
    <s v="TRK87991608"/>
    <n v="8"/>
    <s v="SAVE10"/>
    <x v="2"/>
    <n v="1979.36"/>
  </r>
  <r>
    <s v="ORD200734"/>
    <x v="514"/>
    <x v="731"/>
    <x v="4"/>
    <n v="4"/>
    <n v="224.61"/>
    <s v="630 Main St"/>
    <x v="2"/>
    <x v="2"/>
    <s v="TRK19767885"/>
    <n v="6"/>
    <s v="WINTER15"/>
    <x v="3"/>
    <n v="898.44"/>
  </r>
  <r>
    <s v="ORD200735"/>
    <x v="515"/>
    <x v="732"/>
    <x v="0"/>
    <n v="4"/>
    <n v="44.07"/>
    <s v="359 Main St"/>
    <x v="0"/>
    <x v="4"/>
    <s v="TRK13443264"/>
    <n v="6"/>
    <s v="None"/>
    <x v="2"/>
    <n v="176.28"/>
  </r>
  <r>
    <s v="ORD200736"/>
    <x v="516"/>
    <x v="733"/>
    <x v="0"/>
    <n v="5"/>
    <n v="418.53"/>
    <s v="696 Main St"/>
    <x v="2"/>
    <x v="4"/>
    <s v="TRK66186874"/>
    <n v="6"/>
    <s v="FREESHIP"/>
    <x v="4"/>
    <n v="2092.6499999999996"/>
  </r>
  <r>
    <s v="ORD200737"/>
    <x v="517"/>
    <x v="734"/>
    <x v="1"/>
    <n v="4"/>
    <n v="532.87"/>
    <s v="972 Main St"/>
    <x v="4"/>
    <x v="4"/>
    <s v="TRK25501930"/>
    <n v="9"/>
    <s v="FREESHIP"/>
    <x v="0"/>
    <n v="2131.48"/>
  </r>
  <r>
    <s v="ORD200738"/>
    <x v="518"/>
    <x v="735"/>
    <x v="1"/>
    <n v="2"/>
    <n v="485.37"/>
    <s v="264 Main St"/>
    <x v="2"/>
    <x v="0"/>
    <s v="TRK44998396"/>
    <n v="5"/>
    <s v="SAVE10"/>
    <x v="2"/>
    <n v="970.74"/>
  </r>
  <r>
    <s v="ORD200739"/>
    <x v="136"/>
    <x v="736"/>
    <x v="1"/>
    <n v="4"/>
    <n v="386.73"/>
    <s v="513 Main St"/>
    <x v="4"/>
    <x v="3"/>
    <s v="TRK58979275"/>
    <n v="4"/>
    <s v="SAVE10"/>
    <x v="3"/>
    <n v="1546.92"/>
  </r>
  <r>
    <s v="ORD200740"/>
    <x v="351"/>
    <x v="737"/>
    <x v="6"/>
    <n v="2"/>
    <n v="377.47"/>
    <s v="433 Main St"/>
    <x v="4"/>
    <x v="4"/>
    <s v="TRK76154554"/>
    <n v="7"/>
    <s v="None"/>
    <x v="4"/>
    <n v="754.94"/>
  </r>
  <r>
    <s v="ORD200741"/>
    <x v="185"/>
    <x v="738"/>
    <x v="0"/>
    <n v="5"/>
    <n v="332.64"/>
    <s v="945 Main St"/>
    <x v="3"/>
    <x v="3"/>
    <s v="TRK87305883"/>
    <n v="10"/>
    <s v="None"/>
    <x v="1"/>
    <n v="1663.1999999999998"/>
  </r>
  <r>
    <s v="ORD200742"/>
    <x v="519"/>
    <x v="739"/>
    <x v="5"/>
    <n v="3"/>
    <n v="699.93"/>
    <s v="726 Main St"/>
    <x v="4"/>
    <x v="2"/>
    <s v="TRK48051468"/>
    <n v="7"/>
    <s v="SAVE10"/>
    <x v="4"/>
    <n v="2099.79"/>
  </r>
  <r>
    <s v="ORD200743"/>
    <x v="430"/>
    <x v="740"/>
    <x v="0"/>
    <n v="1"/>
    <n v="576.35"/>
    <s v="549 Main St"/>
    <x v="3"/>
    <x v="2"/>
    <s v="TRK87090813"/>
    <n v="1"/>
    <s v="WINTER15"/>
    <x v="0"/>
    <n v="576.35"/>
  </r>
  <r>
    <s v="ORD200744"/>
    <x v="520"/>
    <x v="741"/>
    <x v="2"/>
    <n v="2"/>
    <n v="461.37"/>
    <s v="200 Main St"/>
    <x v="4"/>
    <x v="3"/>
    <s v="TRK98725693"/>
    <n v="5"/>
    <s v="SAVE10"/>
    <x v="4"/>
    <n v="922.74"/>
  </r>
  <r>
    <s v="ORD200745"/>
    <x v="521"/>
    <x v="742"/>
    <x v="4"/>
    <n v="4"/>
    <n v="111.3"/>
    <s v="364 Main St"/>
    <x v="0"/>
    <x v="4"/>
    <s v="TRK89906749"/>
    <n v="7"/>
    <s v="FREESHIP"/>
    <x v="2"/>
    <n v="445.2"/>
  </r>
  <r>
    <s v="ORD200746"/>
    <x v="522"/>
    <x v="743"/>
    <x v="6"/>
    <n v="3"/>
    <n v="661.89"/>
    <s v="551 Main St"/>
    <x v="1"/>
    <x v="1"/>
    <s v="TRK76287027"/>
    <n v="6"/>
    <s v="WINTER15"/>
    <x v="1"/>
    <n v="1985.67"/>
  </r>
  <r>
    <s v="ORD200747"/>
    <x v="495"/>
    <x v="744"/>
    <x v="2"/>
    <n v="2"/>
    <n v="259.58"/>
    <s v="940 Main St"/>
    <x v="0"/>
    <x v="3"/>
    <s v="TRK26500181"/>
    <n v="7"/>
    <s v="FREESHIP"/>
    <x v="0"/>
    <n v="519.16"/>
  </r>
  <r>
    <s v="ORD200748"/>
    <x v="523"/>
    <x v="745"/>
    <x v="2"/>
    <n v="3"/>
    <n v="70.81"/>
    <s v="249 Main St"/>
    <x v="2"/>
    <x v="0"/>
    <s v="TRK37667360"/>
    <n v="8"/>
    <s v="FREESHIP"/>
    <x v="1"/>
    <n v="212.43"/>
  </r>
  <r>
    <s v="ORD200749"/>
    <x v="524"/>
    <x v="746"/>
    <x v="5"/>
    <n v="1"/>
    <n v="518.39"/>
    <s v="997 Main St"/>
    <x v="0"/>
    <x v="4"/>
    <s v="TRK88797170"/>
    <n v="4"/>
    <s v="FREESHIP"/>
    <x v="0"/>
    <n v="518.39"/>
  </r>
  <r>
    <s v="ORD200750"/>
    <x v="90"/>
    <x v="747"/>
    <x v="2"/>
    <n v="4"/>
    <n v="145.41"/>
    <s v="637 Main St"/>
    <x v="2"/>
    <x v="2"/>
    <s v="TRK10295115"/>
    <n v="7"/>
    <s v="FREESHIP"/>
    <x v="2"/>
    <n v="581.64"/>
  </r>
  <r>
    <s v="ORD200751"/>
    <x v="16"/>
    <x v="748"/>
    <x v="2"/>
    <n v="2"/>
    <n v="599.86"/>
    <s v="455 Main St"/>
    <x v="3"/>
    <x v="4"/>
    <s v="TRK76960854"/>
    <n v="7"/>
    <s v="FREESHIP"/>
    <x v="3"/>
    <n v="1199.72"/>
  </r>
  <r>
    <s v="ORD200752"/>
    <x v="525"/>
    <x v="749"/>
    <x v="1"/>
    <n v="4"/>
    <n v="429.37"/>
    <s v="299 Main St"/>
    <x v="2"/>
    <x v="3"/>
    <s v="TRK33305694"/>
    <n v="8"/>
    <s v="FREESHIP"/>
    <x v="4"/>
    <n v="1717.48"/>
  </r>
  <r>
    <s v="ORD200753"/>
    <x v="526"/>
    <x v="750"/>
    <x v="1"/>
    <n v="2"/>
    <n v="241.49"/>
    <s v="864 Main St"/>
    <x v="0"/>
    <x v="2"/>
    <s v="TRK72697796"/>
    <n v="7"/>
    <s v="FREESHIP"/>
    <x v="0"/>
    <n v="482.98"/>
  </r>
  <r>
    <s v="ORD200754"/>
    <x v="133"/>
    <x v="751"/>
    <x v="4"/>
    <n v="2"/>
    <n v="452.05"/>
    <s v="983 Main St"/>
    <x v="2"/>
    <x v="2"/>
    <s v="TRK52804097"/>
    <n v="3"/>
    <s v="WINTER15"/>
    <x v="2"/>
    <n v="904.1"/>
  </r>
  <r>
    <s v="ORD200755"/>
    <x v="527"/>
    <x v="752"/>
    <x v="6"/>
    <n v="3"/>
    <n v="336.71"/>
    <s v="658 Main St"/>
    <x v="2"/>
    <x v="4"/>
    <s v="TRK60515972"/>
    <n v="4"/>
    <s v="None"/>
    <x v="2"/>
    <n v="1010.1299999999999"/>
  </r>
  <r>
    <s v="ORD200756"/>
    <x v="326"/>
    <x v="753"/>
    <x v="1"/>
    <n v="1"/>
    <n v="283.69"/>
    <s v="202 Main St"/>
    <x v="3"/>
    <x v="0"/>
    <s v="TRK93163682"/>
    <n v="6"/>
    <s v="None"/>
    <x v="4"/>
    <n v="283.69"/>
  </r>
  <r>
    <s v="ORD200757"/>
    <x v="27"/>
    <x v="754"/>
    <x v="6"/>
    <n v="1"/>
    <n v="157.72"/>
    <s v="597 Main St"/>
    <x v="0"/>
    <x v="3"/>
    <s v="TRK91105190"/>
    <n v="2"/>
    <s v="FREESHIP"/>
    <x v="4"/>
    <n v="157.72"/>
  </r>
  <r>
    <s v="ORD200758"/>
    <x v="465"/>
    <x v="755"/>
    <x v="2"/>
    <n v="3"/>
    <n v="624.84"/>
    <s v="917 Main St"/>
    <x v="2"/>
    <x v="1"/>
    <s v="TRK57148510"/>
    <n v="8"/>
    <s v="WINTER15"/>
    <x v="3"/>
    <n v="1874.52"/>
  </r>
  <r>
    <s v="ORD200759"/>
    <x v="528"/>
    <x v="756"/>
    <x v="6"/>
    <n v="3"/>
    <n v="308.01"/>
    <s v="366 Main St"/>
    <x v="4"/>
    <x v="4"/>
    <s v="TRK91784124"/>
    <n v="3"/>
    <s v="FREESHIP"/>
    <x v="3"/>
    <n v="924.03"/>
  </r>
  <r>
    <s v="ORD200760"/>
    <x v="403"/>
    <x v="757"/>
    <x v="6"/>
    <n v="1"/>
    <n v="39.56"/>
    <s v="283 Main St"/>
    <x v="0"/>
    <x v="1"/>
    <s v="TRK73324346"/>
    <n v="5"/>
    <s v="None"/>
    <x v="4"/>
    <n v="39.56"/>
  </r>
  <r>
    <s v="ORD200761"/>
    <x v="454"/>
    <x v="758"/>
    <x v="6"/>
    <n v="4"/>
    <n v="37.76"/>
    <s v="217 Main St"/>
    <x v="0"/>
    <x v="3"/>
    <s v="TRK67789367"/>
    <n v="7"/>
    <s v="None"/>
    <x v="4"/>
    <n v="151.04"/>
  </r>
  <r>
    <s v="ORD200762"/>
    <x v="529"/>
    <x v="759"/>
    <x v="1"/>
    <n v="3"/>
    <n v="76.959999999999994"/>
    <s v="611 Main St"/>
    <x v="4"/>
    <x v="2"/>
    <s v="TRK97621403"/>
    <n v="8"/>
    <s v="FREESHIP"/>
    <x v="2"/>
    <n v="230.88"/>
  </r>
  <r>
    <s v="ORD200763"/>
    <x v="388"/>
    <x v="760"/>
    <x v="5"/>
    <n v="1"/>
    <n v="569.96"/>
    <s v="533 Main St"/>
    <x v="1"/>
    <x v="3"/>
    <s v="TRK30915955"/>
    <n v="4"/>
    <s v="FREESHIP"/>
    <x v="2"/>
    <n v="569.96"/>
  </r>
  <r>
    <s v="ORD200764"/>
    <x v="416"/>
    <x v="761"/>
    <x v="5"/>
    <n v="5"/>
    <n v="627.42999999999995"/>
    <s v="806 Main St"/>
    <x v="2"/>
    <x v="1"/>
    <s v="TRK14016163"/>
    <n v="10"/>
    <s v="FREESHIP"/>
    <x v="2"/>
    <n v="3137.1499999999996"/>
  </r>
  <r>
    <s v="ORD200765"/>
    <x v="426"/>
    <x v="762"/>
    <x v="5"/>
    <n v="2"/>
    <n v="534.91"/>
    <s v="281 Main St"/>
    <x v="0"/>
    <x v="2"/>
    <s v="TRK96249043"/>
    <n v="5"/>
    <s v="SAVE10"/>
    <x v="4"/>
    <n v="1069.82"/>
  </r>
  <r>
    <s v="ORD200766"/>
    <x v="55"/>
    <x v="763"/>
    <x v="4"/>
    <n v="2"/>
    <n v="278.88"/>
    <s v="494 Main St"/>
    <x v="0"/>
    <x v="4"/>
    <s v="TRK99985340"/>
    <n v="3"/>
    <s v="FREESHIP"/>
    <x v="1"/>
    <n v="557.76"/>
  </r>
  <r>
    <s v="ORD200767"/>
    <x v="479"/>
    <x v="764"/>
    <x v="2"/>
    <n v="2"/>
    <n v="323.22000000000003"/>
    <s v="517 Main St"/>
    <x v="2"/>
    <x v="3"/>
    <s v="TRK80436037"/>
    <n v="7"/>
    <s v="None"/>
    <x v="0"/>
    <n v="646.44000000000005"/>
  </r>
  <r>
    <s v="ORD200768"/>
    <x v="355"/>
    <x v="765"/>
    <x v="2"/>
    <n v="5"/>
    <n v="653.46"/>
    <s v="165 Main St"/>
    <x v="4"/>
    <x v="1"/>
    <s v="TRK28918815"/>
    <n v="9"/>
    <s v="WINTER15"/>
    <x v="2"/>
    <n v="3267.3"/>
  </r>
  <r>
    <s v="ORD200769"/>
    <x v="117"/>
    <x v="766"/>
    <x v="4"/>
    <n v="4"/>
    <n v="678.55"/>
    <s v="568 Main St"/>
    <x v="4"/>
    <x v="3"/>
    <s v="TRK98691410"/>
    <n v="5"/>
    <s v="None"/>
    <x v="2"/>
    <n v="2714.2"/>
  </r>
  <r>
    <s v="ORD200770"/>
    <x v="530"/>
    <x v="767"/>
    <x v="6"/>
    <n v="1"/>
    <n v="314.38"/>
    <s v="227 Main St"/>
    <x v="1"/>
    <x v="2"/>
    <s v="TRK67733444"/>
    <n v="6"/>
    <s v="None"/>
    <x v="4"/>
    <n v="314.38"/>
  </r>
  <r>
    <s v="ORD200771"/>
    <x v="520"/>
    <x v="768"/>
    <x v="1"/>
    <n v="3"/>
    <n v="692.44"/>
    <s v="272 Main St"/>
    <x v="0"/>
    <x v="1"/>
    <s v="TRK82236408"/>
    <n v="8"/>
    <s v="FREESHIP"/>
    <x v="4"/>
    <n v="2077.3200000000002"/>
  </r>
  <r>
    <s v="ORD200772"/>
    <x v="118"/>
    <x v="769"/>
    <x v="0"/>
    <n v="1"/>
    <n v="604.87"/>
    <s v="461 Main St"/>
    <x v="1"/>
    <x v="3"/>
    <s v="TRK25799478"/>
    <n v="4"/>
    <s v="None"/>
    <x v="0"/>
    <n v="604.87"/>
  </r>
  <r>
    <s v="ORD200773"/>
    <x v="164"/>
    <x v="770"/>
    <x v="1"/>
    <n v="2"/>
    <n v="512.33000000000004"/>
    <s v="415 Main St"/>
    <x v="4"/>
    <x v="1"/>
    <s v="TRK48904015"/>
    <n v="7"/>
    <s v="None"/>
    <x v="3"/>
    <n v="1024.6600000000001"/>
  </r>
  <r>
    <s v="ORD200774"/>
    <x v="198"/>
    <x v="771"/>
    <x v="3"/>
    <n v="3"/>
    <n v="20.54"/>
    <s v="257 Main St"/>
    <x v="2"/>
    <x v="1"/>
    <s v="TRK42266846"/>
    <n v="3"/>
    <s v="FREESHIP"/>
    <x v="0"/>
    <n v="61.62"/>
  </r>
  <r>
    <s v="ORD200775"/>
    <x v="190"/>
    <x v="772"/>
    <x v="1"/>
    <n v="2"/>
    <n v="625.22"/>
    <s v="569 Main St"/>
    <x v="1"/>
    <x v="1"/>
    <s v="TRK22051900"/>
    <n v="5"/>
    <s v="None"/>
    <x v="4"/>
    <n v="1250.44"/>
  </r>
  <r>
    <s v="ORD200776"/>
    <x v="531"/>
    <x v="773"/>
    <x v="2"/>
    <n v="1"/>
    <n v="21.19"/>
    <s v="482 Main St"/>
    <x v="4"/>
    <x v="2"/>
    <s v="TRK10446197"/>
    <n v="5"/>
    <s v="WINTER15"/>
    <x v="4"/>
    <n v="21.19"/>
  </r>
  <r>
    <s v="ORD200777"/>
    <x v="438"/>
    <x v="774"/>
    <x v="3"/>
    <n v="5"/>
    <n v="64.489999999999995"/>
    <s v="633 Main St"/>
    <x v="1"/>
    <x v="1"/>
    <s v="TRK41967983"/>
    <n v="7"/>
    <s v="None"/>
    <x v="3"/>
    <n v="322.45"/>
  </r>
  <r>
    <s v="ORD200778"/>
    <x v="200"/>
    <x v="775"/>
    <x v="5"/>
    <n v="4"/>
    <n v="246.85"/>
    <s v="316 Main St"/>
    <x v="2"/>
    <x v="0"/>
    <s v="TRK56503740"/>
    <n v="8"/>
    <s v="WINTER15"/>
    <x v="4"/>
    <n v="987.4"/>
  </r>
  <r>
    <s v="ORD200779"/>
    <x v="142"/>
    <x v="776"/>
    <x v="1"/>
    <n v="3"/>
    <n v="588.74"/>
    <s v="751 Main St"/>
    <x v="0"/>
    <x v="4"/>
    <s v="TRK26661705"/>
    <n v="8"/>
    <s v="FREESHIP"/>
    <x v="2"/>
    <n v="1766.22"/>
  </r>
  <r>
    <s v="ORD200780"/>
    <x v="74"/>
    <x v="777"/>
    <x v="5"/>
    <n v="4"/>
    <n v="184.48"/>
    <s v="661 Main St"/>
    <x v="1"/>
    <x v="1"/>
    <s v="TRK73613128"/>
    <n v="4"/>
    <s v="WINTER15"/>
    <x v="4"/>
    <n v="737.92"/>
  </r>
  <r>
    <s v="ORD200781"/>
    <x v="532"/>
    <x v="778"/>
    <x v="1"/>
    <n v="5"/>
    <n v="524.26"/>
    <s v="934 Main St"/>
    <x v="3"/>
    <x v="3"/>
    <s v="TRK51479426"/>
    <n v="5"/>
    <s v="FREESHIP"/>
    <x v="1"/>
    <n v="2621.3000000000002"/>
  </r>
  <r>
    <s v="ORD200782"/>
    <x v="533"/>
    <x v="779"/>
    <x v="0"/>
    <n v="2"/>
    <n v="493.63"/>
    <s v="167 Main St"/>
    <x v="1"/>
    <x v="2"/>
    <s v="TRK50548869"/>
    <n v="6"/>
    <s v="SAVE10"/>
    <x v="1"/>
    <n v="987.26"/>
  </r>
  <r>
    <s v="ORD200783"/>
    <x v="534"/>
    <x v="780"/>
    <x v="4"/>
    <n v="1"/>
    <n v="438.34"/>
    <s v="281 Main St"/>
    <x v="3"/>
    <x v="2"/>
    <s v="TRK46990083"/>
    <n v="5"/>
    <s v="FREESHIP"/>
    <x v="3"/>
    <n v="438.34"/>
  </r>
  <r>
    <s v="ORD200784"/>
    <x v="535"/>
    <x v="781"/>
    <x v="5"/>
    <n v="1"/>
    <n v="325.81"/>
    <s v="232 Main St"/>
    <x v="2"/>
    <x v="4"/>
    <s v="TRK85771230"/>
    <n v="1"/>
    <s v="WINTER15"/>
    <x v="1"/>
    <n v="325.81"/>
  </r>
  <r>
    <s v="ORD200785"/>
    <x v="536"/>
    <x v="782"/>
    <x v="3"/>
    <n v="1"/>
    <n v="176.1"/>
    <s v="342 Main St"/>
    <x v="2"/>
    <x v="4"/>
    <s v="TRK53089983"/>
    <n v="1"/>
    <s v="SAVE10"/>
    <x v="0"/>
    <n v="176.1"/>
  </r>
  <r>
    <s v="ORD200786"/>
    <x v="421"/>
    <x v="783"/>
    <x v="3"/>
    <n v="5"/>
    <n v="45.31"/>
    <s v="774 Main St"/>
    <x v="1"/>
    <x v="1"/>
    <s v="TRK99583414"/>
    <n v="8"/>
    <s v="None"/>
    <x v="1"/>
    <n v="226.55"/>
  </r>
  <r>
    <s v="ORD200787"/>
    <x v="537"/>
    <x v="784"/>
    <x v="6"/>
    <n v="4"/>
    <n v="221.96"/>
    <s v="193 Main St"/>
    <x v="4"/>
    <x v="3"/>
    <s v="TRK36841089"/>
    <n v="7"/>
    <s v="None"/>
    <x v="4"/>
    <n v="887.84"/>
  </r>
  <r>
    <s v="ORD200788"/>
    <x v="208"/>
    <x v="785"/>
    <x v="3"/>
    <n v="2"/>
    <n v="601.42999999999995"/>
    <s v="761 Main St"/>
    <x v="1"/>
    <x v="4"/>
    <s v="TRK43516112"/>
    <n v="5"/>
    <s v="FREESHIP"/>
    <x v="0"/>
    <n v="1202.8599999999999"/>
  </r>
  <r>
    <s v="ORD200789"/>
    <x v="538"/>
    <x v="786"/>
    <x v="2"/>
    <n v="5"/>
    <n v="691.28"/>
    <s v="183 Main St"/>
    <x v="1"/>
    <x v="3"/>
    <s v="TRK75899752"/>
    <n v="10"/>
    <s v="SAVE10"/>
    <x v="2"/>
    <n v="3456.3999999999996"/>
  </r>
  <r>
    <s v="ORD200790"/>
    <x v="154"/>
    <x v="787"/>
    <x v="5"/>
    <n v="4"/>
    <n v="417.89"/>
    <s v="302 Main St"/>
    <x v="3"/>
    <x v="4"/>
    <s v="TRK96636009"/>
    <n v="4"/>
    <s v="None"/>
    <x v="4"/>
    <n v="1671.56"/>
  </r>
  <r>
    <s v="ORD200791"/>
    <x v="539"/>
    <x v="788"/>
    <x v="3"/>
    <n v="4"/>
    <n v="409.28"/>
    <s v="956 Main St"/>
    <x v="4"/>
    <x v="4"/>
    <s v="TRK92591237"/>
    <n v="8"/>
    <s v="None"/>
    <x v="2"/>
    <n v="1637.12"/>
  </r>
  <r>
    <s v="ORD200792"/>
    <x v="379"/>
    <x v="789"/>
    <x v="6"/>
    <n v="2"/>
    <n v="356.35"/>
    <s v="746 Main St"/>
    <x v="0"/>
    <x v="2"/>
    <s v="TRK90995294"/>
    <n v="6"/>
    <s v="WINTER15"/>
    <x v="3"/>
    <n v="712.7"/>
  </r>
  <r>
    <s v="ORD200793"/>
    <x v="116"/>
    <x v="790"/>
    <x v="3"/>
    <n v="5"/>
    <n v="170.22"/>
    <s v="769 Main St"/>
    <x v="0"/>
    <x v="3"/>
    <s v="TRK69599961"/>
    <n v="8"/>
    <s v="None"/>
    <x v="1"/>
    <n v="851.1"/>
  </r>
  <r>
    <s v="ORD200794"/>
    <x v="338"/>
    <x v="791"/>
    <x v="4"/>
    <n v="4"/>
    <n v="384.85"/>
    <s v="988 Main St"/>
    <x v="1"/>
    <x v="3"/>
    <s v="TRK77052196"/>
    <n v="9"/>
    <s v="FREESHIP"/>
    <x v="0"/>
    <n v="1539.4"/>
  </r>
  <r>
    <s v="ORD200795"/>
    <x v="540"/>
    <x v="792"/>
    <x v="5"/>
    <n v="4"/>
    <n v="115.77"/>
    <s v="586 Main St"/>
    <x v="1"/>
    <x v="4"/>
    <s v="TRK41266666"/>
    <n v="7"/>
    <s v="SAVE10"/>
    <x v="0"/>
    <n v="463.08"/>
  </r>
  <r>
    <s v="ORD200796"/>
    <x v="541"/>
    <x v="793"/>
    <x v="1"/>
    <n v="3"/>
    <n v="579.54999999999995"/>
    <s v="882 Main St"/>
    <x v="3"/>
    <x v="2"/>
    <s v="TRK13349970"/>
    <n v="8"/>
    <s v="WINTER15"/>
    <x v="3"/>
    <n v="1738.6499999999999"/>
  </r>
  <r>
    <s v="ORD200797"/>
    <x v="146"/>
    <x v="794"/>
    <x v="5"/>
    <n v="2"/>
    <n v="438.76"/>
    <s v="426 Main St"/>
    <x v="0"/>
    <x v="2"/>
    <s v="TRK72557318"/>
    <n v="2"/>
    <s v="None"/>
    <x v="3"/>
    <n v="877.52"/>
  </r>
  <r>
    <s v="ORD200798"/>
    <x v="542"/>
    <x v="795"/>
    <x v="1"/>
    <n v="5"/>
    <n v="488.35"/>
    <s v="968 Main St"/>
    <x v="0"/>
    <x v="2"/>
    <s v="TRK89372013"/>
    <n v="9"/>
    <s v="FREESHIP"/>
    <x v="2"/>
    <n v="2441.75"/>
  </r>
  <r>
    <s v="ORD200799"/>
    <x v="397"/>
    <x v="796"/>
    <x v="5"/>
    <n v="4"/>
    <n v="328.56"/>
    <s v="803 Main St"/>
    <x v="0"/>
    <x v="2"/>
    <s v="TRK78924436"/>
    <n v="4"/>
    <s v="FREESHIP"/>
    <x v="2"/>
    <n v="1314.24"/>
  </r>
  <r>
    <s v="ORD200800"/>
    <x v="210"/>
    <x v="797"/>
    <x v="2"/>
    <n v="1"/>
    <n v="68.39"/>
    <s v="412 Main St"/>
    <x v="1"/>
    <x v="2"/>
    <s v="TRK99468332"/>
    <n v="3"/>
    <s v="WINTER15"/>
    <x v="3"/>
    <n v="68.39"/>
  </r>
  <r>
    <s v="ORD200801"/>
    <x v="71"/>
    <x v="27"/>
    <x v="4"/>
    <n v="4"/>
    <n v="595.62"/>
    <s v="738 Main St"/>
    <x v="0"/>
    <x v="4"/>
    <s v="TRK58443593"/>
    <n v="8"/>
    <s v="FREESHIP"/>
    <x v="3"/>
    <n v="2382.48"/>
  </r>
  <r>
    <s v="ORD200802"/>
    <x v="11"/>
    <x v="798"/>
    <x v="3"/>
    <n v="5"/>
    <n v="644.64"/>
    <s v="205 Main St"/>
    <x v="3"/>
    <x v="1"/>
    <s v="TRK34440714"/>
    <n v="6"/>
    <s v="FREESHIP"/>
    <x v="2"/>
    <n v="3223.2"/>
  </r>
  <r>
    <s v="ORD200803"/>
    <x v="38"/>
    <x v="799"/>
    <x v="0"/>
    <n v="5"/>
    <n v="397.81"/>
    <s v="223 Main St"/>
    <x v="0"/>
    <x v="2"/>
    <s v="TRK45098068"/>
    <n v="5"/>
    <s v="SAVE10"/>
    <x v="1"/>
    <n v="1989.05"/>
  </r>
  <r>
    <s v="ORD200804"/>
    <x v="543"/>
    <x v="800"/>
    <x v="3"/>
    <n v="3"/>
    <n v="236.5"/>
    <s v="916 Main St"/>
    <x v="1"/>
    <x v="3"/>
    <s v="TRK11868618"/>
    <n v="8"/>
    <s v="FREESHIP"/>
    <x v="2"/>
    <n v="709.5"/>
  </r>
  <r>
    <s v="ORD200805"/>
    <x v="12"/>
    <x v="801"/>
    <x v="5"/>
    <n v="5"/>
    <n v="472.01"/>
    <s v="178 Main St"/>
    <x v="3"/>
    <x v="1"/>
    <s v="TRK14590037"/>
    <n v="10"/>
    <s v="SAVE10"/>
    <x v="2"/>
    <n v="2360.0500000000002"/>
  </r>
  <r>
    <s v="ORD200806"/>
    <x v="544"/>
    <x v="802"/>
    <x v="3"/>
    <n v="5"/>
    <n v="253.75"/>
    <s v="740 Main St"/>
    <x v="1"/>
    <x v="4"/>
    <s v="TRK13775054"/>
    <n v="9"/>
    <s v="WINTER15"/>
    <x v="0"/>
    <n v="1268.75"/>
  </r>
  <r>
    <s v="ORD200807"/>
    <x v="337"/>
    <x v="803"/>
    <x v="0"/>
    <n v="3"/>
    <n v="676.21"/>
    <s v="260 Main St"/>
    <x v="1"/>
    <x v="3"/>
    <s v="TRK70957219"/>
    <n v="5"/>
    <s v="SAVE10"/>
    <x v="4"/>
    <n v="2028.63"/>
  </r>
  <r>
    <s v="ORD200808"/>
    <x v="545"/>
    <x v="804"/>
    <x v="6"/>
    <n v="3"/>
    <n v="134.05000000000001"/>
    <s v="192 Main St"/>
    <x v="2"/>
    <x v="0"/>
    <s v="TRK80383756"/>
    <n v="3"/>
    <s v="None"/>
    <x v="4"/>
    <n v="402.15000000000003"/>
  </r>
  <r>
    <s v="ORD200809"/>
    <x v="398"/>
    <x v="805"/>
    <x v="6"/>
    <n v="5"/>
    <n v="217.43"/>
    <s v="752 Main St"/>
    <x v="0"/>
    <x v="0"/>
    <s v="TRK54385892"/>
    <n v="10"/>
    <s v="SAVE10"/>
    <x v="0"/>
    <n v="1087.1500000000001"/>
  </r>
  <r>
    <s v="ORD200810"/>
    <x v="546"/>
    <x v="806"/>
    <x v="2"/>
    <n v="1"/>
    <n v="553.55999999999995"/>
    <s v="644 Main St"/>
    <x v="2"/>
    <x v="1"/>
    <s v="TRK16749863"/>
    <n v="5"/>
    <s v="None"/>
    <x v="1"/>
    <n v="553.55999999999995"/>
  </r>
  <r>
    <s v="ORD200811"/>
    <x v="212"/>
    <x v="807"/>
    <x v="5"/>
    <n v="2"/>
    <n v="28.55"/>
    <s v="864 Main St"/>
    <x v="3"/>
    <x v="0"/>
    <s v="TRK44538305"/>
    <n v="7"/>
    <s v="SAVE10"/>
    <x v="2"/>
    <n v="57.1"/>
  </r>
  <r>
    <s v="ORD200812"/>
    <x v="547"/>
    <x v="808"/>
    <x v="1"/>
    <n v="2"/>
    <n v="255.26"/>
    <s v="803 Main St"/>
    <x v="2"/>
    <x v="1"/>
    <s v="TRK88437123"/>
    <n v="6"/>
    <s v="FREESHIP"/>
    <x v="4"/>
    <n v="510.52"/>
  </r>
  <r>
    <s v="ORD200813"/>
    <x v="175"/>
    <x v="809"/>
    <x v="5"/>
    <n v="5"/>
    <n v="292.54000000000002"/>
    <s v="263 Main St"/>
    <x v="0"/>
    <x v="1"/>
    <s v="TRK36131660"/>
    <n v="8"/>
    <s v="FREESHIP"/>
    <x v="2"/>
    <n v="1462.7"/>
  </r>
  <r>
    <s v="ORD200814"/>
    <x v="218"/>
    <x v="810"/>
    <x v="3"/>
    <n v="4"/>
    <n v="147.51"/>
    <s v="979 Main St"/>
    <x v="0"/>
    <x v="4"/>
    <s v="TRK21082461"/>
    <n v="4"/>
    <s v="WINTER15"/>
    <x v="0"/>
    <n v="590.04"/>
  </r>
  <r>
    <s v="ORD200815"/>
    <x v="548"/>
    <x v="811"/>
    <x v="4"/>
    <n v="3"/>
    <n v="569.84"/>
    <s v="920 Main St"/>
    <x v="3"/>
    <x v="1"/>
    <s v="TRK77539180"/>
    <n v="8"/>
    <s v="WINTER15"/>
    <x v="0"/>
    <n v="1709.52"/>
  </r>
  <r>
    <s v="ORD200816"/>
    <x v="444"/>
    <x v="812"/>
    <x v="2"/>
    <n v="5"/>
    <n v="574.79"/>
    <s v="497 Main St"/>
    <x v="2"/>
    <x v="4"/>
    <s v="TRK39058734"/>
    <n v="8"/>
    <s v="WINTER15"/>
    <x v="1"/>
    <n v="2873.95"/>
  </r>
  <r>
    <s v="ORD200817"/>
    <x v="469"/>
    <x v="813"/>
    <x v="3"/>
    <n v="4"/>
    <n v="598.19000000000005"/>
    <s v="430 Main St"/>
    <x v="2"/>
    <x v="3"/>
    <s v="TRK98883971"/>
    <n v="7"/>
    <s v="WINTER15"/>
    <x v="2"/>
    <n v="2392.7600000000002"/>
  </r>
  <r>
    <s v="ORD200818"/>
    <x v="521"/>
    <x v="814"/>
    <x v="1"/>
    <n v="4"/>
    <n v="390.84"/>
    <s v="860 Main St"/>
    <x v="2"/>
    <x v="1"/>
    <s v="TRK58781638"/>
    <n v="9"/>
    <s v="WINTER15"/>
    <x v="1"/>
    <n v="1563.36"/>
  </r>
  <r>
    <s v="ORD200819"/>
    <x v="335"/>
    <x v="815"/>
    <x v="1"/>
    <n v="2"/>
    <n v="398.45"/>
    <s v="650 Main St"/>
    <x v="0"/>
    <x v="1"/>
    <s v="TRK38104650"/>
    <n v="7"/>
    <s v="SAVE10"/>
    <x v="4"/>
    <n v="796.9"/>
  </r>
  <r>
    <s v="ORD200820"/>
    <x v="156"/>
    <x v="816"/>
    <x v="1"/>
    <n v="5"/>
    <n v="623.80999999999995"/>
    <s v="171 Main St"/>
    <x v="4"/>
    <x v="2"/>
    <s v="TRK17342157"/>
    <n v="6"/>
    <s v="FREESHIP"/>
    <x v="2"/>
    <n v="3119.0499999999997"/>
  </r>
  <r>
    <s v="ORD200821"/>
    <x v="549"/>
    <x v="817"/>
    <x v="5"/>
    <n v="4"/>
    <n v="174.49"/>
    <s v="259 Main St"/>
    <x v="2"/>
    <x v="3"/>
    <s v="TRK56310345"/>
    <n v="5"/>
    <s v="SAVE10"/>
    <x v="3"/>
    <n v="697.96"/>
  </r>
  <r>
    <s v="ORD200822"/>
    <x v="175"/>
    <x v="818"/>
    <x v="1"/>
    <n v="1"/>
    <n v="479.56"/>
    <s v="923 Main St"/>
    <x v="3"/>
    <x v="2"/>
    <s v="TRK45123395"/>
    <n v="1"/>
    <s v="SAVE10"/>
    <x v="4"/>
    <n v="479.56"/>
  </r>
  <r>
    <s v="ORD200823"/>
    <x v="550"/>
    <x v="819"/>
    <x v="5"/>
    <n v="4"/>
    <n v="653.13"/>
    <s v="973 Main St"/>
    <x v="2"/>
    <x v="0"/>
    <s v="TRK83842481"/>
    <n v="8"/>
    <s v="WINTER15"/>
    <x v="0"/>
    <n v="2612.52"/>
  </r>
  <r>
    <s v="ORD200824"/>
    <x v="193"/>
    <x v="820"/>
    <x v="0"/>
    <n v="3"/>
    <n v="481.1"/>
    <s v="664 Main St"/>
    <x v="2"/>
    <x v="2"/>
    <s v="TRK12530495"/>
    <n v="3"/>
    <s v="FREESHIP"/>
    <x v="3"/>
    <n v="1443.3000000000002"/>
  </r>
  <r>
    <s v="ORD200825"/>
    <x v="18"/>
    <x v="821"/>
    <x v="6"/>
    <n v="5"/>
    <n v="271.69"/>
    <s v="543 Main St"/>
    <x v="1"/>
    <x v="2"/>
    <s v="TRK88914760"/>
    <n v="7"/>
    <s v="FREESHIP"/>
    <x v="0"/>
    <n v="1358.45"/>
  </r>
  <r>
    <s v="ORD200826"/>
    <x v="177"/>
    <x v="822"/>
    <x v="4"/>
    <n v="3"/>
    <n v="463.81"/>
    <s v="283 Main St"/>
    <x v="1"/>
    <x v="2"/>
    <s v="TRK32469820"/>
    <n v="8"/>
    <s v="WINTER15"/>
    <x v="2"/>
    <n v="1391.43"/>
  </r>
  <r>
    <s v="ORD200827"/>
    <x v="551"/>
    <x v="823"/>
    <x v="2"/>
    <n v="2"/>
    <n v="639.88"/>
    <s v="432 Main St"/>
    <x v="4"/>
    <x v="3"/>
    <s v="TRK58829625"/>
    <n v="5"/>
    <s v="WINTER15"/>
    <x v="0"/>
    <n v="1279.76"/>
  </r>
  <r>
    <s v="ORD200828"/>
    <x v="25"/>
    <x v="824"/>
    <x v="3"/>
    <n v="4"/>
    <n v="404.58"/>
    <s v="510 Main St"/>
    <x v="4"/>
    <x v="0"/>
    <s v="TRK64576020"/>
    <n v="5"/>
    <s v="FREESHIP"/>
    <x v="0"/>
    <n v="1618.32"/>
  </r>
  <r>
    <s v="ORD200829"/>
    <x v="483"/>
    <x v="825"/>
    <x v="0"/>
    <n v="1"/>
    <n v="76.930000000000007"/>
    <s v="685 Main St"/>
    <x v="0"/>
    <x v="3"/>
    <s v="TRK68358007"/>
    <n v="6"/>
    <s v="WINTER15"/>
    <x v="0"/>
    <n v="76.930000000000007"/>
  </r>
  <r>
    <s v="ORD200830"/>
    <x v="218"/>
    <x v="826"/>
    <x v="2"/>
    <n v="4"/>
    <n v="190.64"/>
    <s v="853 Main St"/>
    <x v="4"/>
    <x v="3"/>
    <s v="TRK70028457"/>
    <n v="5"/>
    <s v="SAVE10"/>
    <x v="2"/>
    <n v="762.56"/>
  </r>
  <r>
    <s v="ORD200831"/>
    <x v="552"/>
    <x v="827"/>
    <x v="4"/>
    <n v="2"/>
    <n v="88.73"/>
    <s v="140 Main St"/>
    <x v="1"/>
    <x v="4"/>
    <s v="TRK61346824"/>
    <n v="5"/>
    <s v="None"/>
    <x v="4"/>
    <n v="177.46"/>
  </r>
  <r>
    <s v="ORD200832"/>
    <x v="553"/>
    <x v="828"/>
    <x v="3"/>
    <n v="5"/>
    <n v="485.71"/>
    <s v="903 Main St"/>
    <x v="1"/>
    <x v="4"/>
    <s v="TRK14661811"/>
    <n v="10"/>
    <s v="SAVE10"/>
    <x v="1"/>
    <n v="2428.5499999999997"/>
  </r>
  <r>
    <s v="ORD200833"/>
    <x v="387"/>
    <x v="829"/>
    <x v="1"/>
    <n v="5"/>
    <n v="78.290000000000006"/>
    <s v="508 Main St"/>
    <x v="2"/>
    <x v="0"/>
    <s v="TRK96573803"/>
    <n v="5"/>
    <s v="WINTER15"/>
    <x v="1"/>
    <n v="391.45000000000005"/>
  </r>
  <r>
    <s v="ORD200834"/>
    <x v="166"/>
    <x v="830"/>
    <x v="4"/>
    <n v="5"/>
    <n v="22.14"/>
    <s v="456 Main St"/>
    <x v="4"/>
    <x v="2"/>
    <s v="TRK22084320"/>
    <n v="10"/>
    <s v="None"/>
    <x v="0"/>
    <n v="110.7"/>
  </r>
  <r>
    <s v="ORD200835"/>
    <x v="290"/>
    <x v="831"/>
    <x v="6"/>
    <n v="1"/>
    <n v="679.65"/>
    <s v="390 Main St"/>
    <x v="0"/>
    <x v="0"/>
    <s v="TRK73888013"/>
    <n v="6"/>
    <s v="FREESHIP"/>
    <x v="4"/>
    <n v="679.65"/>
  </r>
  <r>
    <s v="ORD200836"/>
    <x v="488"/>
    <x v="832"/>
    <x v="1"/>
    <n v="1"/>
    <n v="178.44"/>
    <s v="328 Main St"/>
    <x v="2"/>
    <x v="1"/>
    <s v="TRK58725886"/>
    <n v="2"/>
    <s v="FREESHIP"/>
    <x v="4"/>
    <n v="178.44"/>
  </r>
  <r>
    <s v="ORD200837"/>
    <x v="554"/>
    <x v="833"/>
    <x v="3"/>
    <n v="5"/>
    <n v="655.55"/>
    <s v="282 Main St"/>
    <x v="1"/>
    <x v="3"/>
    <s v="TRK59701278"/>
    <n v="5"/>
    <s v="None"/>
    <x v="2"/>
    <n v="3277.75"/>
  </r>
  <r>
    <s v="ORD200838"/>
    <x v="166"/>
    <x v="834"/>
    <x v="6"/>
    <n v="4"/>
    <n v="577.08000000000004"/>
    <s v="384 Main St"/>
    <x v="1"/>
    <x v="4"/>
    <s v="TRK68797566"/>
    <n v="8"/>
    <s v="None"/>
    <x v="3"/>
    <n v="2308.3200000000002"/>
  </r>
  <r>
    <s v="ORD200839"/>
    <x v="318"/>
    <x v="835"/>
    <x v="3"/>
    <n v="3"/>
    <n v="197.97"/>
    <s v="551 Main St"/>
    <x v="1"/>
    <x v="1"/>
    <s v="TRK90618490"/>
    <n v="5"/>
    <s v="None"/>
    <x v="4"/>
    <n v="593.91"/>
  </r>
  <r>
    <s v="ORD200840"/>
    <x v="555"/>
    <x v="836"/>
    <x v="3"/>
    <n v="3"/>
    <n v="411.95"/>
    <s v="672 Main St"/>
    <x v="2"/>
    <x v="3"/>
    <s v="TRK88660574"/>
    <n v="7"/>
    <s v="FREESHIP"/>
    <x v="1"/>
    <n v="1235.8499999999999"/>
  </r>
  <r>
    <s v="ORD200841"/>
    <x v="556"/>
    <x v="837"/>
    <x v="4"/>
    <n v="2"/>
    <n v="443.22"/>
    <s v="742 Main St"/>
    <x v="2"/>
    <x v="3"/>
    <s v="TRK51732528"/>
    <n v="5"/>
    <s v="None"/>
    <x v="3"/>
    <n v="886.44"/>
  </r>
  <r>
    <s v="ORD200842"/>
    <x v="106"/>
    <x v="838"/>
    <x v="5"/>
    <n v="3"/>
    <n v="364.14"/>
    <s v="396 Main St"/>
    <x v="1"/>
    <x v="4"/>
    <s v="TRK88312618"/>
    <n v="7"/>
    <s v="WINTER15"/>
    <x v="1"/>
    <n v="1092.42"/>
  </r>
  <r>
    <s v="ORD200843"/>
    <x v="557"/>
    <x v="839"/>
    <x v="6"/>
    <n v="3"/>
    <n v="430.06"/>
    <s v="534 Main St"/>
    <x v="3"/>
    <x v="1"/>
    <s v="TRK20961563"/>
    <n v="8"/>
    <s v="FREESHIP"/>
    <x v="0"/>
    <n v="1290.18"/>
  </r>
  <r>
    <s v="ORD200844"/>
    <x v="558"/>
    <x v="840"/>
    <x v="3"/>
    <n v="1"/>
    <n v="320.92"/>
    <s v="883 Main St"/>
    <x v="1"/>
    <x v="2"/>
    <s v="TRK75984759"/>
    <n v="5"/>
    <s v="FREESHIP"/>
    <x v="3"/>
    <n v="320.92"/>
  </r>
  <r>
    <s v="ORD200845"/>
    <x v="345"/>
    <x v="841"/>
    <x v="1"/>
    <n v="3"/>
    <n v="107.36"/>
    <s v="808 Main St"/>
    <x v="3"/>
    <x v="3"/>
    <s v="TRK68894675"/>
    <n v="5"/>
    <s v="FREESHIP"/>
    <x v="4"/>
    <n v="322.08"/>
  </r>
  <r>
    <s v="ORD200846"/>
    <x v="502"/>
    <x v="842"/>
    <x v="6"/>
    <n v="2"/>
    <n v="359.86"/>
    <s v="646 Main St"/>
    <x v="0"/>
    <x v="1"/>
    <s v="TRK43977698"/>
    <n v="4"/>
    <s v="None"/>
    <x v="1"/>
    <n v="719.72"/>
  </r>
  <r>
    <s v="ORD200847"/>
    <x v="249"/>
    <x v="843"/>
    <x v="4"/>
    <n v="4"/>
    <n v="434.23"/>
    <s v="670 Main St"/>
    <x v="1"/>
    <x v="0"/>
    <s v="TRK90560300"/>
    <n v="8"/>
    <s v="FREESHIP"/>
    <x v="2"/>
    <n v="1736.92"/>
  </r>
  <r>
    <s v="ORD200848"/>
    <x v="107"/>
    <x v="844"/>
    <x v="3"/>
    <n v="2"/>
    <n v="645.85"/>
    <s v="634 Main St"/>
    <x v="1"/>
    <x v="0"/>
    <s v="TRK18049633"/>
    <n v="5"/>
    <s v="None"/>
    <x v="1"/>
    <n v="1291.7"/>
  </r>
  <r>
    <s v="ORD200849"/>
    <x v="559"/>
    <x v="845"/>
    <x v="4"/>
    <n v="4"/>
    <n v="214.35"/>
    <s v="664 Main St"/>
    <x v="0"/>
    <x v="1"/>
    <s v="TRK12756945"/>
    <n v="7"/>
    <s v="WINTER15"/>
    <x v="1"/>
    <n v="857.4"/>
  </r>
  <r>
    <s v="ORD200850"/>
    <x v="560"/>
    <x v="846"/>
    <x v="0"/>
    <n v="3"/>
    <n v="638.5"/>
    <s v="890 Main St"/>
    <x v="0"/>
    <x v="1"/>
    <s v="TRK14832238"/>
    <n v="4"/>
    <s v="FREESHIP"/>
    <x v="0"/>
    <n v="1915.5"/>
  </r>
  <r>
    <s v="ORD200851"/>
    <x v="427"/>
    <x v="847"/>
    <x v="5"/>
    <n v="1"/>
    <n v="365.57"/>
    <s v="146 Main St"/>
    <x v="1"/>
    <x v="1"/>
    <s v="TRK20814598"/>
    <n v="5"/>
    <s v="SAVE10"/>
    <x v="2"/>
    <n v="365.57"/>
  </r>
  <r>
    <s v="ORD200852"/>
    <x v="101"/>
    <x v="848"/>
    <x v="6"/>
    <n v="3"/>
    <n v="568.04999999999995"/>
    <s v="618 Main St"/>
    <x v="3"/>
    <x v="4"/>
    <s v="TRK69000497"/>
    <n v="6"/>
    <s v="SAVE10"/>
    <x v="4"/>
    <n v="1704.1499999999999"/>
  </r>
  <r>
    <s v="ORD200853"/>
    <x v="504"/>
    <x v="849"/>
    <x v="4"/>
    <n v="3"/>
    <n v="490.01"/>
    <s v="894 Main St"/>
    <x v="4"/>
    <x v="2"/>
    <s v="TRK94641152"/>
    <n v="4"/>
    <s v="SAVE10"/>
    <x v="3"/>
    <n v="1470.03"/>
  </r>
  <r>
    <s v="ORD200854"/>
    <x v="399"/>
    <x v="850"/>
    <x v="5"/>
    <n v="3"/>
    <n v="372.6"/>
    <s v="356 Main St"/>
    <x v="2"/>
    <x v="3"/>
    <s v="TRK67735987"/>
    <n v="7"/>
    <s v="WINTER15"/>
    <x v="1"/>
    <n v="1117.8000000000002"/>
  </r>
  <r>
    <s v="ORD200855"/>
    <x v="551"/>
    <x v="851"/>
    <x v="0"/>
    <n v="5"/>
    <n v="240.61"/>
    <s v="785 Main St"/>
    <x v="2"/>
    <x v="0"/>
    <s v="TRK94198179"/>
    <n v="10"/>
    <s v="FREESHIP"/>
    <x v="2"/>
    <n v="1203.0500000000002"/>
  </r>
  <r>
    <s v="ORD200856"/>
    <x v="561"/>
    <x v="852"/>
    <x v="1"/>
    <n v="1"/>
    <n v="586.62"/>
    <s v="871 Main St"/>
    <x v="0"/>
    <x v="0"/>
    <s v="TRK95768773"/>
    <n v="5"/>
    <s v="None"/>
    <x v="3"/>
    <n v="586.62"/>
  </r>
  <r>
    <s v="ORD200857"/>
    <x v="416"/>
    <x v="853"/>
    <x v="1"/>
    <n v="3"/>
    <n v="257.83999999999997"/>
    <s v="185 Main St"/>
    <x v="1"/>
    <x v="3"/>
    <s v="TRK86808324"/>
    <n v="4"/>
    <s v="None"/>
    <x v="0"/>
    <n v="773.52"/>
  </r>
  <r>
    <s v="ORD200858"/>
    <x v="38"/>
    <x v="854"/>
    <x v="2"/>
    <n v="5"/>
    <n v="435.66"/>
    <s v="891 Main St"/>
    <x v="1"/>
    <x v="4"/>
    <s v="TRK70269748"/>
    <n v="9"/>
    <s v="None"/>
    <x v="3"/>
    <n v="2178.3000000000002"/>
  </r>
  <r>
    <s v="ORD200859"/>
    <x v="562"/>
    <x v="855"/>
    <x v="3"/>
    <n v="5"/>
    <n v="261.33"/>
    <s v="154 Main St"/>
    <x v="2"/>
    <x v="2"/>
    <s v="TRK73285507"/>
    <n v="5"/>
    <s v="SAVE10"/>
    <x v="1"/>
    <n v="1306.6499999999999"/>
  </r>
  <r>
    <s v="ORD200860"/>
    <x v="514"/>
    <x v="856"/>
    <x v="4"/>
    <n v="1"/>
    <n v="422.54"/>
    <s v="876 Main St"/>
    <x v="4"/>
    <x v="3"/>
    <s v="TRK20746505"/>
    <n v="1"/>
    <s v="SAVE10"/>
    <x v="4"/>
    <n v="422.54"/>
  </r>
  <r>
    <s v="ORD200861"/>
    <x v="111"/>
    <x v="857"/>
    <x v="6"/>
    <n v="5"/>
    <n v="330.45"/>
    <s v="230 Main St"/>
    <x v="3"/>
    <x v="0"/>
    <s v="TRK44165913"/>
    <n v="10"/>
    <s v="FREESHIP"/>
    <x v="4"/>
    <n v="1652.25"/>
  </r>
  <r>
    <s v="ORD200862"/>
    <x v="278"/>
    <x v="858"/>
    <x v="6"/>
    <n v="3"/>
    <n v="120.82"/>
    <s v="799 Main St"/>
    <x v="2"/>
    <x v="0"/>
    <s v="TRK69852386"/>
    <n v="5"/>
    <s v="SAVE10"/>
    <x v="1"/>
    <n v="362.46"/>
  </r>
  <r>
    <s v="ORD200863"/>
    <x v="199"/>
    <x v="859"/>
    <x v="1"/>
    <n v="1"/>
    <n v="14.06"/>
    <s v="471 Main St"/>
    <x v="2"/>
    <x v="4"/>
    <s v="TRK74207282"/>
    <n v="5"/>
    <s v="SAVE10"/>
    <x v="1"/>
    <n v="14.06"/>
  </r>
  <r>
    <s v="ORD200864"/>
    <x v="71"/>
    <x v="860"/>
    <x v="6"/>
    <n v="1"/>
    <n v="491.11"/>
    <s v="592 Main St"/>
    <x v="2"/>
    <x v="3"/>
    <s v="TRK58095246"/>
    <n v="4"/>
    <s v="SAVE10"/>
    <x v="3"/>
    <n v="491.11"/>
  </r>
  <r>
    <s v="ORD200865"/>
    <x v="563"/>
    <x v="861"/>
    <x v="0"/>
    <n v="4"/>
    <n v="677.37"/>
    <s v="156 Main St"/>
    <x v="4"/>
    <x v="4"/>
    <s v="TRK76270481"/>
    <n v="8"/>
    <s v="SAVE10"/>
    <x v="4"/>
    <n v="2709.48"/>
  </r>
  <r>
    <s v="ORD200866"/>
    <x v="503"/>
    <x v="862"/>
    <x v="6"/>
    <n v="5"/>
    <n v="189.25"/>
    <s v="693 Main St"/>
    <x v="0"/>
    <x v="1"/>
    <s v="TRK39917741"/>
    <n v="10"/>
    <s v="WINTER15"/>
    <x v="2"/>
    <n v="946.25"/>
  </r>
  <r>
    <s v="ORD200867"/>
    <x v="564"/>
    <x v="863"/>
    <x v="4"/>
    <n v="4"/>
    <n v="142.58000000000001"/>
    <s v="351 Main St"/>
    <x v="4"/>
    <x v="3"/>
    <s v="TRK65831261"/>
    <n v="4"/>
    <s v="FREESHIP"/>
    <x v="3"/>
    <n v="570.32000000000005"/>
  </r>
  <r>
    <s v="ORD200868"/>
    <x v="310"/>
    <x v="864"/>
    <x v="0"/>
    <n v="4"/>
    <n v="316.32"/>
    <s v="309 Main St"/>
    <x v="0"/>
    <x v="3"/>
    <s v="TRK42985882"/>
    <n v="7"/>
    <s v="None"/>
    <x v="3"/>
    <n v="1265.28"/>
  </r>
  <r>
    <s v="ORD200869"/>
    <x v="537"/>
    <x v="865"/>
    <x v="6"/>
    <n v="2"/>
    <n v="533.95000000000005"/>
    <s v="790 Main St"/>
    <x v="1"/>
    <x v="3"/>
    <s v="TRK16788127"/>
    <n v="5"/>
    <s v="WINTER15"/>
    <x v="4"/>
    <n v="1067.9000000000001"/>
  </r>
  <r>
    <s v="ORD200870"/>
    <x v="565"/>
    <x v="866"/>
    <x v="1"/>
    <n v="4"/>
    <n v="470.09"/>
    <s v="541 Main St"/>
    <x v="0"/>
    <x v="3"/>
    <s v="TRK72001139"/>
    <n v="4"/>
    <s v="FREESHIP"/>
    <x v="4"/>
    <n v="1880.36"/>
  </r>
  <r>
    <s v="ORD200871"/>
    <x v="149"/>
    <x v="867"/>
    <x v="2"/>
    <n v="3"/>
    <n v="324.3"/>
    <s v="720 Main St"/>
    <x v="0"/>
    <x v="4"/>
    <s v="TRK22024707"/>
    <n v="8"/>
    <s v="FREESHIP"/>
    <x v="2"/>
    <n v="972.90000000000009"/>
  </r>
  <r>
    <s v="ORD200872"/>
    <x v="566"/>
    <x v="868"/>
    <x v="3"/>
    <n v="4"/>
    <n v="629.34"/>
    <s v="172 Main St"/>
    <x v="4"/>
    <x v="0"/>
    <s v="TRK90883858"/>
    <n v="7"/>
    <s v="None"/>
    <x v="2"/>
    <n v="2517.36"/>
  </r>
  <r>
    <s v="ORD200873"/>
    <x v="258"/>
    <x v="869"/>
    <x v="6"/>
    <n v="3"/>
    <n v="136.84"/>
    <s v="448 Main St"/>
    <x v="4"/>
    <x v="3"/>
    <s v="TRK27365050"/>
    <n v="3"/>
    <s v="SAVE10"/>
    <x v="3"/>
    <n v="410.52"/>
  </r>
  <r>
    <s v="ORD200874"/>
    <x v="150"/>
    <x v="870"/>
    <x v="3"/>
    <n v="2"/>
    <n v="488.9"/>
    <s v="632 Main St"/>
    <x v="4"/>
    <x v="3"/>
    <s v="TRK93315929"/>
    <n v="7"/>
    <s v="FREESHIP"/>
    <x v="3"/>
    <n v="977.8"/>
  </r>
  <r>
    <s v="ORD200875"/>
    <x v="567"/>
    <x v="871"/>
    <x v="5"/>
    <n v="5"/>
    <n v="133.38999999999999"/>
    <s v="203 Main St"/>
    <x v="2"/>
    <x v="3"/>
    <s v="TRK66473392"/>
    <n v="6"/>
    <s v="FREESHIP"/>
    <x v="1"/>
    <n v="666.94999999999993"/>
  </r>
  <r>
    <s v="ORD200876"/>
    <x v="410"/>
    <x v="872"/>
    <x v="3"/>
    <n v="5"/>
    <n v="608.91"/>
    <s v="200 Main St"/>
    <x v="3"/>
    <x v="4"/>
    <s v="TRK21534173"/>
    <n v="6"/>
    <s v="SAVE10"/>
    <x v="4"/>
    <n v="3044.5499999999997"/>
  </r>
  <r>
    <s v="ORD200877"/>
    <x v="568"/>
    <x v="873"/>
    <x v="2"/>
    <n v="1"/>
    <n v="524.05999999999995"/>
    <s v="269 Main St"/>
    <x v="0"/>
    <x v="4"/>
    <s v="TRK97319127"/>
    <n v="3"/>
    <s v="FREESHIP"/>
    <x v="2"/>
    <n v="524.05999999999995"/>
  </r>
  <r>
    <s v="ORD200878"/>
    <x v="569"/>
    <x v="874"/>
    <x v="6"/>
    <n v="2"/>
    <n v="330.69"/>
    <s v="393 Main St"/>
    <x v="1"/>
    <x v="1"/>
    <s v="TRK56423132"/>
    <n v="5"/>
    <s v="SAVE10"/>
    <x v="4"/>
    <n v="661.38"/>
  </r>
  <r>
    <s v="ORD200879"/>
    <x v="428"/>
    <x v="875"/>
    <x v="1"/>
    <n v="2"/>
    <n v="547.66999999999996"/>
    <s v="932 Main St"/>
    <x v="3"/>
    <x v="0"/>
    <s v="TRK86373987"/>
    <n v="3"/>
    <s v="None"/>
    <x v="0"/>
    <n v="1095.3399999999999"/>
  </r>
  <r>
    <s v="ORD200880"/>
    <x v="495"/>
    <x v="876"/>
    <x v="5"/>
    <n v="4"/>
    <n v="233.7"/>
    <s v="506 Main St"/>
    <x v="1"/>
    <x v="0"/>
    <s v="TRK63133878"/>
    <n v="8"/>
    <s v="SAVE10"/>
    <x v="3"/>
    <n v="934.8"/>
  </r>
  <r>
    <s v="ORD200881"/>
    <x v="570"/>
    <x v="877"/>
    <x v="2"/>
    <n v="2"/>
    <n v="448.85"/>
    <s v="386 Main St"/>
    <x v="2"/>
    <x v="4"/>
    <s v="TRK48000034"/>
    <n v="6"/>
    <s v="None"/>
    <x v="0"/>
    <n v="897.7"/>
  </r>
  <r>
    <s v="ORD200882"/>
    <x v="164"/>
    <x v="878"/>
    <x v="1"/>
    <n v="2"/>
    <n v="274.12"/>
    <s v="533 Main St"/>
    <x v="4"/>
    <x v="3"/>
    <s v="TRK91848650"/>
    <n v="6"/>
    <s v="FREESHIP"/>
    <x v="1"/>
    <n v="548.24"/>
  </r>
  <r>
    <s v="ORD200883"/>
    <x v="557"/>
    <x v="879"/>
    <x v="4"/>
    <n v="5"/>
    <n v="561.48"/>
    <s v="451 Main St"/>
    <x v="1"/>
    <x v="3"/>
    <s v="TRK25317348"/>
    <n v="9"/>
    <s v="FREESHIP"/>
    <x v="3"/>
    <n v="2807.4"/>
  </r>
  <r>
    <s v="ORD200884"/>
    <x v="571"/>
    <x v="880"/>
    <x v="3"/>
    <n v="1"/>
    <n v="595.54"/>
    <s v="817 Main St"/>
    <x v="3"/>
    <x v="0"/>
    <s v="TRK52137079"/>
    <n v="4"/>
    <s v="None"/>
    <x v="0"/>
    <n v="595.54"/>
  </r>
  <r>
    <s v="ORD200885"/>
    <x v="158"/>
    <x v="881"/>
    <x v="5"/>
    <n v="4"/>
    <n v="515.59"/>
    <s v="387 Main St"/>
    <x v="2"/>
    <x v="0"/>
    <s v="TRK36388962"/>
    <n v="7"/>
    <s v="FREESHIP"/>
    <x v="4"/>
    <n v="2062.36"/>
  </r>
  <r>
    <s v="ORD200886"/>
    <x v="385"/>
    <x v="882"/>
    <x v="1"/>
    <n v="1"/>
    <n v="460.13"/>
    <s v="792 Main St"/>
    <x v="2"/>
    <x v="2"/>
    <s v="TRK22046456"/>
    <n v="1"/>
    <s v="None"/>
    <x v="4"/>
    <n v="460.13"/>
  </r>
  <r>
    <s v="ORD200887"/>
    <x v="36"/>
    <x v="883"/>
    <x v="3"/>
    <n v="3"/>
    <n v="171.66"/>
    <s v="857 Main St"/>
    <x v="0"/>
    <x v="3"/>
    <s v="TRK88547534"/>
    <n v="7"/>
    <s v="None"/>
    <x v="4"/>
    <n v="514.98"/>
  </r>
  <r>
    <s v="ORD200888"/>
    <x v="572"/>
    <x v="884"/>
    <x v="5"/>
    <n v="2"/>
    <n v="266.95"/>
    <s v="833 Main St"/>
    <x v="2"/>
    <x v="4"/>
    <s v="TRK58024529"/>
    <n v="3"/>
    <s v="None"/>
    <x v="0"/>
    <n v="533.9"/>
  </r>
  <r>
    <s v="ORD200889"/>
    <x v="245"/>
    <x v="885"/>
    <x v="0"/>
    <n v="5"/>
    <n v="650.72"/>
    <s v="350 Main St"/>
    <x v="2"/>
    <x v="1"/>
    <s v="TRK16808790"/>
    <n v="8"/>
    <s v="WINTER15"/>
    <x v="2"/>
    <n v="3253.6000000000004"/>
  </r>
  <r>
    <s v="ORD200890"/>
    <x v="178"/>
    <x v="886"/>
    <x v="5"/>
    <n v="3"/>
    <n v="439.53"/>
    <s v="943 Main St"/>
    <x v="0"/>
    <x v="4"/>
    <s v="TRK85741716"/>
    <n v="5"/>
    <s v="None"/>
    <x v="4"/>
    <n v="1318.59"/>
  </r>
  <r>
    <s v="ORD200891"/>
    <x v="433"/>
    <x v="887"/>
    <x v="0"/>
    <n v="3"/>
    <n v="654.54"/>
    <s v="918 Main St"/>
    <x v="4"/>
    <x v="2"/>
    <s v="TRK38952138"/>
    <n v="7"/>
    <s v="SAVE10"/>
    <x v="1"/>
    <n v="1963.62"/>
  </r>
  <r>
    <s v="ORD200892"/>
    <x v="573"/>
    <x v="888"/>
    <x v="6"/>
    <n v="1"/>
    <n v="394.53"/>
    <s v="480 Main St"/>
    <x v="4"/>
    <x v="0"/>
    <s v="TRK40896408"/>
    <n v="2"/>
    <s v="FREESHIP"/>
    <x v="1"/>
    <n v="394.53"/>
  </r>
  <r>
    <s v="ORD200893"/>
    <x v="574"/>
    <x v="889"/>
    <x v="0"/>
    <n v="1"/>
    <n v="678.01"/>
    <s v="696 Main St"/>
    <x v="4"/>
    <x v="4"/>
    <s v="TRK55701253"/>
    <n v="4"/>
    <s v="FREESHIP"/>
    <x v="1"/>
    <n v="678.01"/>
  </r>
  <r>
    <s v="ORD200894"/>
    <x v="575"/>
    <x v="890"/>
    <x v="2"/>
    <n v="3"/>
    <n v="575.01"/>
    <s v="852 Main St"/>
    <x v="1"/>
    <x v="1"/>
    <s v="TRK37551831"/>
    <n v="8"/>
    <s v="WINTER15"/>
    <x v="0"/>
    <n v="1725.03"/>
  </r>
  <r>
    <s v="ORD200895"/>
    <x v="576"/>
    <x v="891"/>
    <x v="3"/>
    <n v="3"/>
    <n v="154.63999999999999"/>
    <s v="832 Main St"/>
    <x v="0"/>
    <x v="4"/>
    <s v="TRK62371264"/>
    <n v="6"/>
    <s v="WINTER15"/>
    <x v="3"/>
    <n v="463.91999999999996"/>
  </r>
  <r>
    <s v="ORD200896"/>
    <x v="266"/>
    <x v="892"/>
    <x v="6"/>
    <n v="3"/>
    <n v="147.29"/>
    <s v="102 Main St"/>
    <x v="3"/>
    <x v="0"/>
    <s v="TRK66764177"/>
    <n v="3"/>
    <s v="FREESHIP"/>
    <x v="4"/>
    <n v="441.87"/>
  </r>
  <r>
    <s v="ORD200897"/>
    <x v="459"/>
    <x v="893"/>
    <x v="5"/>
    <n v="4"/>
    <n v="481.48"/>
    <s v="358 Main St"/>
    <x v="3"/>
    <x v="3"/>
    <s v="TRK38730545"/>
    <n v="5"/>
    <s v="SAVE10"/>
    <x v="0"/>
    <n v="1925.92"/>
  </r>
  <r>
    <s v="ORD200898"/>
    <x v="376"/>
    <x v="894"/>
    <x v="0"/>
    <n v="3"/>
    <n v="158.37"/>
    <s v="742 Main St"/>
    <x v="4"/>
    <x v="0"/>
    <s v="TRK66662528"/>
    <n v="6"/>
    <s v="None"/>
    <x v="1"/>
    <n v="475.11"/>
  </r>
  <r>
    <s v="ORD200899"/>
    <x v="577"/>
    <x v="895"/>
    <x v="4"/>
    <n v="2"/>
    <n v="323.37"/>
    <s v="552 Main St"/>
    <x v="1"/>
    <x v="4"/>
    <s v="TRK83843411"/>
    <n v="3"/>
    <s v="SAVE10"/>
    <x v="0"/>
    <n v="646.74"/>
  </r>
  <r>
    <s v="ORD200900"/>
    <x v="492"/>
    <x v="896"/>
    <x v="5"/>
    <n v="5"/>
    <n v="73.83"/>
    <s v="991 Main St"/>
    <x v="0"/>
    <x v="4"/>
    <s v="TRK67342586"/>
    <n v="9"/>
    <s v="None"/>
    <x v="0"/>
    <n v="369.15"/>
  </r>
  <r>
    <s v="ORD200901"/>
    <x v="578"/>
    <x v="897"/>
    <x v="2"/>
    <n v="1"/>
    <n v="458.63"/>
    <s v="839 Main St"/>
    <x v="0"/>
    <x v="2"/>
    <s v="TRK79321479"/>
    <n v="4"/>
    <s v="WINTER15"/>
    <x v="1"/>
    <n v="458.63"/>
  </r>
  <r>
    <s v="ORD200902"/>
    <x v="579"/>
    <x v="898"/>
    <x v="0"/>
    <n v="4"/>
    <n v="180.25"/>
    <s v="813 Main St"/>
    <x v="0"/>
    <x v="1"/>
    <s v="TRK76712124"/>
    <n v="7"/>
    <s v="None"/>
    <x v="3"/>
    <n v="721"/>
  </r>
  <r>
    <s v="ORD200903"/>
    <x v="209"/>
    <x v="899"/>
    <x v="0"/>
    <n v="3"/>
    <n v="473.49"/>
    <s v="205 Main St"/>
    <x v="2"/>
    <x v="4"/>
    <s v="TRK56186636"/>
    <n v="7"/>
    <s v="None"/>
    <x v="2"/>
    <n v="1420.47"/>
  </r>
  <r>
    <s v="ORD200904"/>
    <x v="580"/>
    <x v="900"/>
    <x v="0"/>
    <n v="4"/>
    <n v="237.43"/>
    <s v="262 Main St"/>
    <x v="4"/>
    <x v="1"/>
    <s v="TRK41146508"/>
    <n v="8"/>
    <s v="WINTER15"/>
    <x v="1"/>
    <n v="949.72"/>
  </r>
  <r>
    <s v="ORD200905"/>
    <x v="581"/>
    <x v="901"/>
    <x v="5"/>
    <n v="1"/>
    <n v="442.39"/>
    <s v="101 Main St"/>
    <x v="3"/>
    <x v="4"/>
    <s v="TRK81978113"/>
    <n v="6"/>
    <s v="FREESHIP"/>
    <x v="3"/>
    <n v="442.39"/>
  </r>
  <r>
    <s v="ORD200906"/>
    <x v="459"/>
    <x v="902"/>
    <x v="0"/>
    <n v="1"/>
    <n v="62.12"/>
    <s v="141 Main St"/>
    <x v="4"/>
    <x v="2"/>
    <s v="TRK80175572"/>
    <n v="2"/>
    <s v="None"/>
    <x v="2"/>
    <n v="62.12"/>
  </r>
  <r>
    <s v="ORD200907"/>
    <x v="548"/>
    <x v="903"/>
    <x v="6"/>
    <n v="5"/>
    <n v="298.39"/>
    <s v="583 Main St"/>
    <x v="3"/>
    <x v="1"/>
    <s v="TRK52935170"/>
    <n v="7"/>
    <s v="WINTER15"/>
    <x v="1"/>
    <n v="1491.9499999999998"/>
  </r>
  <r>
    <s v="ORD200908"/>
    <x v="138"/>
    <x v="904"/>
    <x v="6"/>
    <n v="2"/>
    <n v="697.93"/>
    <s v="332 Main St"/>
    <x v="2"/>
    <x v="1"/>
    <s v="TRK27155709"/>
    <n v="2"/>
    <s v="SAVE10"/>
    <x v="4"/>
    <n v="1395.86"/>
  </r>
  <r>
    <s v="ORD200909"/>
    <x v="582"/>
    <x v="905"/>
    <x v="2"/>
    <n v="2"/>
    <n v="291.85000000000002"/>
    <s v="569 Main St"/>
    <x v="4"/>
    <x v="0"/>
    <s v="TRK76525279"/>
    <n v="5"/>
    <s v="FREESHIP"/>
    <x v="0"/>
    <n v="583.70000000000005"/>
  </r>
  <r>
    <s v="ORD200910"/>
    <x v="583"/>
    <x v="906"/>
    <x v="4"/>
    <n v="3"/>
    <n v="308.98"/>
    <s v="348 Main St"/>
    <x v="4"/>
    <x v="3"/>
    <s v="TRK26397548"/>
    <n v="3"/>
    <s v="SAVE10"/>
    <x v="0"/>
    <n v="926.94"/>
  </r>
  <r>
    <s v="ORD200911"/>
    <x v="584"/>
    <x v="907"/>
    <x v="6"/>
    <n v="5"/>
    <n v="396.86"/>
    <s v="593 Main St"/>
    <x v="4"/>
    <x v="1"/>
    <s v="TRK43967487"/>
    <n v="9"/>
    <s v="SAVE10"/>
    <x v="0"/>
    <n v="1984.3000000000002"/>
  </r>
  <r>
    <s v="ORD200912"/>
    <x v="585"/>
    <x v="908"/>
    <x v="6"/>
    <n v="2"/>
    <n v="139.69"/>
    <s v="318 Main St"/>
    <x v="1"/>
    <x v="2"/>
    <s v="TRK85545920"/>
    <n v="7"/>
    <s v="FREESHIP"/>
    <x v="2"/>
    <n v="279.38"/>
  </r>
  <r>
    <s v="ORD200913"/>
    <x v="223"/>
    <x v="909"/>
    <x v="4"/>
    <n v="5"/>
    <n v="475.95"/>
    <s v="505 Main St"/>
    <x v="2"/>
    <x v="2"/>
    <s v="TRK62277685"/>
    <n v="8"/>
    <s v="WINTER15"/>
    <x v="3"/>
    <n v="2379.75"/>
  </r>
  <r>
    <s v="ORD200914"/>
    <x v="441"/>
    <x v="910"/>
    <x v="6"/>
    <n v="1"/>
    <n v="626.6"/>
    <s v="955 Main St"/>
    <x v="3"/>
    <x v="2"/>
    <s v="TRK51589589"/>
    <n v="4"/>
    <s v="WINTER15"/>
    <x v="3"/>
    <n v="626.6"/>
  </r>
  <r>
    <s v="ORD200915"/>
    <x v="586"/>
    <x v="911"/>
    <x v="5"/>
    <n v="4"/>
    <n v="502.99"/>
    <s v="939 Main St"/>
    <x v="0"/>
    <x v="0"/>
    <s v="TRK30736692"/>
    <n v="4"/>
    <s v="WINTER15"/>
    <x v="1"/>
    <n v="2011.96"/>
  </r>
  <r>
    <s v="ORD200916"/>
    <x v="587"/>
    <x v="912"/>
    <x v="4"/>
    <n v="5"/>
    <n v="578.83000000000004"/>
    <s v="165 Main St"/>
    <x v="4"/>
    <x v="2"/>
    <s v="TRK13928455"/>
    <n v="6"/>
    <s v="None"/>
    <x v="1"/>
    <n v="2894.15"/>
  </r>
  <r>
    <s v="ORD200917"/>
    <x v="588"/>
    <x v="913"/>
    <x v="5"/>
    <n v="5"/>
    <n v="383.82"/>
    <s v="836 Main St"/>
    <x v="2"/>
    <x v="2"/>
    <s v="TRK19315310"/>
    <n v="7"/>
    <s v="FREESHIP"/>
    <x v="4"/>
    <n v="1919.1"/>
  </r>
  <r>
    <s v="ORD200918"/>
    <x v="53"/>
    <x v="914"/>
    <x v="5"/>
    <n v="5"/>
    <n v="368.25"/>
    <s v="706 Main St"/>
    <x v="1"/>
    <x v="3"/>
    <s v="TRK18250450"/>
    <n v="5"/>
    <s v="None"/>
    <x v="0"/>
    <n v="1841.25"/>
  </r>
  <r>
    <s v="ORD200919"/>
    <x v="492"/>
    <x v="915"/>
    <x v="4"/>
    <n v="2"/>
    <n v="374.6"/>
    <s v="187 Main St"/>
    <x v="1"/>
    <x v="0"/>
    <s v="TRK23357668"/>
    <n v="3"/>
    <s v="FREESHIP"/>
    <x v="1"/>
    <n v="749.2"/>
  </r>
  <r>
    <s v="ORD200920"/>
    <x v="495"/>
    <x v="916"/>
    <x v="2"/>
    <n v="2"/>
    <n v="428.09"/>
    <s v="978 Main St"/>
    <x v="2"/>
    <x v="2"/>
    <s v="TRK98110407"/>
    <n v="6"/>
    <s v="None"/>
    <x v="0"/>
    <n v="856.18"/>
  </r>
  <r>
    <s v="ORD200921"/>
    <x v="528"/>
    <x v="917"/>
    <x v="2"/>
    <n v="1"/>
    <n v="438.93"/>
    <s v="144 Main St"/>
    <x v="3"/>
    <x v="1"/>
    <s v="TRK90075720"/>
    <n v="3"/>
    <s v="SAVE10"/>
    <x v="1"/>
    <n v="438.93"/>
  </r>
  <r>
    <s v="ORD200922"/>
    <x v="589"/>
    <x v="918"/>
    <x v="6"/>
    <n v="2"/>
    <n v="563.82000000000005"/>
    <s v="487 Main St"/>
    <x v="2"/>
    <x v="4"/>
    <s v="TRK79737732"/>
    <n v="3"/>
    <s v="None"/>
    <x v="0"/>
    <n v="1127.6400000000001"/>
  </r>
  <r>
    <s v="ORD200923"/>
    <x v="91"/>
    <x v="919"/>
    <x v="4"/>
    <n v="3"/>
    <n v="649.92999999999995"/>
    <s v="836 Main St"/>
    <x v="2"/>
    <x v="4"/>
    <s v="TRK99938245"/>
    <n v="7"/>
    <s v="WINTER15"/>
    <x v="3"/>
    <n v="1949.79"/>
  </r>
  <r>
    <s v="ORD200924"/>
    <x v="29"/>
    <x v="920"/>
    <x v="4"/>
    <n v="5"/>
    <n v="268.43"/>
    <s v="991 Main St"/>
    <x v="4"/>
    <x v="2"/>
    <s v="TRK55330558"/>
    <n v="5"/>
    <s v="SAVE10"/>
    <x v="2"/>
    <n v="1342.15"/>
  </r>
  <r>
    <s v="ORD200925"/>
    <x v="590"/>
    <x v="921"/>
    <x v="0"/>
    <n v="5"/>
    <n v="502.47"/>
    <s v="304 Main St"/>
    <x v="1"/>
    <x v="0"/>
    <s v="TRK97460884"/>
    <n v="10"/>
    <s v="WINTER15"/>
    <x v="2"/>
    <n v="2512.3500000000004"/>
  </r>
  <r>
    <s v="ORD200926"/>
    <x v="591"/>
    <x v="922"/>
    <x v="6"/>
    <n v="1"/>
    <n v="26.95"/>
    <s v="672 Main St"/>
    <x v="4"/>
    <x v="3"/>
    <s v="TRK14566395"/>
    <n v="1"/>
    <s v="WINTER15"/>
    <x v="2"/>
    <n v="26.95"/>
  </r>
  <r>
    <s v="ORD200927"/>
    <x v="592"/>
    <x v="923"/>
    <x v="5"/>
    <n v="4"/>
    <n v="64.69"/>
    <s v="638 Main St"/>
    <x v="0"/>
    <x v="0"/>
    <s v="TRK10003020"/>
    <n v="7"/>
    <s v="WINTER15"/>
    <x v="4"/>
    <n v="258.76"/>
  </r>
  <r>
    <s v="ORD200928"/>
    <x v="593"/>
    <x v="924"/>
    <x v="5"/>
    <n v="3"/>
    <n v="247.11"/>
    <s v="821 Main St"/>
    <x v="0"/>
    <x v="2"/>
    <s v="TRK18896595"/>
    <n v="3"/>
    <s v="WINTER15"/>
    <x v="1"/>
    <n v="741.33"/>
  </r>
  <r>
    <s v="ORD200929"/>
    <x v="594"/>
    <x v="925"/>
    <x v="2"/>
    <n v="2"/>
    <n v="536.25"/>
    <s v="553 Main St"/>
    <x v="0"/>
    <x v="4"/>
    <s v="TRK71803414"/>
    <n v="3"/>
    <s v="None"/>
    <x v="2"/>
    <n v="1072.5"/>
  </r>
  <r>
    <s v="ORD200930"/>
    <x v="393"/>
    <x v="926"/>
    <x v="1"/>
    <n v="2"/>
    <n v="456.04"/>
    <s v="382 Main St"/>
    <x v="0"/>
    <x v="2"/>
    <s v="TRK28182447"/>
    <n v="4"/>
    <s v="FREESHIP"/>
    <x v="2"/>
    <n v="912.08"/>
  </r>
  <r>
    <s v="ORD200931"/>
    <x v="543"/>
    <x v="927"/>
    <x v="4"/>
    <n v="2"/>
    <n v="40.229999999999997"/>
    <s v="623 Main St"/>
    <x v="2"/>
    <x v="1"/>
    <s v="TRK87567926"/>
    <n v="4"/>
    <s v="SAVE10"/>
    <x v="4"/>
    <n v="80.459999999999994"/>
  </r>
  <r>
    <s v="ORD200932"/>
    <x v="465"/>
    <x v="928"/>
    <x v="5"/>
    <n v="2"/>
    <n v="72.39"/>
    <s v="168 Main St"/>
    <x v="1"/>
    <x v="3"/>
    <s v="TRK15334251"/>
    <n v="7"/>
    <s v="WINTER15"/>
    <x v="0"/>
    <n v="144.78"/>
  </r>
  <r>
    <s v="ORD200933"/>
    <x v="595"/>
    <x v="929"/>
    <x v="0"/>
    <n v="2"/>
    <n v="394.16"/>
    <s v="255 Main St"/>
    <x v="1"/>
    <x v="0"/>
    <s v="TRK43718093"/>
    <n v="2"/>
    <s v="None"/>
    <x v="1"/>
    <n v="788.32"/>
  </r>
  <r>
    <s v="ORD200934"/>
    <x v="565"/>
    <x v="930"/>
    <x v="5"/>
    <n v="4"/>
    <n v="119.84"/>
    <s v="692 Main St"/>
    <x v="3"/>
    <x v="0"/>
    <s v="TRK85790948"/>
    <n v="8"/>
    <s v="FREESHIP"/>
    <x v="1"/>
    <n v="479.36"/>
  </r>
  <r>
    <s v="ORD200935"/>
    <x v="254"/>
    <x v="931"/>
    <x v="1"/>
    <n v="3"/>
    <n v="692.71"/>
    <s v="398 Main St"/>
    <x v="2"/>
    <x v="3"/>
    <s v="TRK62405253"/>
    <n v="3"/>
    <s v="FREESHIP"/>
    <x v="0"/>
    <n v="2078.13"/>
  </r>
  <r>
    <s v="ORD200936"/>
    <x v="596"/>
    <x v="932"/>
    <x v="3"/>
    <n v="4"/>
    <n v="56.66"/>
    <s v="737 Main St"/>
    <x v="1"/>
    <x v="3"/>
    <s v="TRK44140968"/>
    <n v="4"/>
    <s v="SAVE10"/>
    <x v="0"/>
    <n v="226.64"/>
  </r>
  <r>
    <s v="ORD200937"/>
    <x v="462"/>
    <x v="933"/>
    <x v="3"/>
    <n v="2"/>
    <n v="298.52999999999997"/>
    <s v="536 Main St"/>
    <x v="0"/>
    <x v="1"/>
    <s v="TRK46221436"/>
    <n v="5"/>
    <s v="WINTER15"/>
    <x v="2"/>
    <n v="597.05999999999995"/>
  </r>
  <r>
    <s v="ORD200938"/>
    <x v="219"/>
    <x v="934"/>
    <x v="3"/>
    <n v="3"/>
    <n v="331.46"/>
    <s v="696 Main St"/>
    <x v="2"/>
    <x v="1"/>
    <s v="TRK91155214"/>
    <n v="6"/>
    <s v="WINTER15"/>
    <x v="1"/>
    <n v="994.37999999999988"/>
  </r>
  <r>
    <s v="ORD200939"/>
    <x v="597"/>
    <x v="935"/>
    <x v="5"/>
    <n v="2"/>
    <n v="521.4"/>
    <s v="212 Main St"/>
    <x v="4"/>
    <x v="3"/>
    <s v="TRK53152886"/>
    <n v="7"/>
    <s v="SAVE10"/>
    <x v="0"/>
    <n v="1042.8"/>
  </r>
  <r>
    <s v="ORD200940"/>
    <x v="14"/>
    <x v="936"/>
    <x v="4"/>
    <n v="4"/>
    <n v="305.32"/>
    <s v="679 Main St"/>
    <x v="1"/>
    <x v="1"/>
    <s v="TRK91525779"/>
    <n v="4"/>
    <s v="SAVE10"/>
    <x v="4"/>
    <n v="1221.28"/>
  </r>
  <r>
    <s v="ORD200941"/>
    <x v="15"/>
    <x v="439"/>
    <x v="4"/>
    <n v="5"/>
    <n v="111.7"/>
    <s v="599 Main St"/>
    <x v="2"/>
    <x v="1"/>
    <s v="TRK82162952"/>
    <n v="9"/>
    <s v="FREESHIP"/>
    <x v="2"/>
    <n v="558.5"/>
  </r>
  <r>
    <s v="ORD200942"/>
    <x v="372"/>
    <x v="937"/>
    <x v="2"/>
    <n v="1"/>
    <n v="479.76"/>
    <s v="882 Main St"/>
    <x v="2"/>
    <x v="4"/>
    <s v="TRK56070470"/>
    <n v="1"/>
    <s v="None"/>
    <x v="2"/>
    <n v="479.76"/>
  </r>
  <r>
    <s v="ORD200943"/>
    <x v="140"/>
    <x v="938"/>
    <x v="0"/>
    <n v="3"/>
    <n v="193.49"/>
    <s v="355 Main St"/>
    <x v="3"/>
    <x v="2"/>
    <s v="TRK71594838"/>
    <n v="6"/>
    <s v="FREESHIP"/>
    <x v="3"/>
    <n v="580.47"/>
  </r>
  <r>
    <s v="ORD200944"/>
    <x v="393"/>
    <x v="939"/>
    <x v="5"/>
    <n v="2"/>
    <n v="426.22"/>
    <s v="448 Main St"/>
    <x v="1"/>
    <x v="3"/>
    <s v="TRK98284560"/>
    <n v="7"/>
    <s v="WINTER15"/>
    <x v="4"/>
    <n v="852.44"/>
  </r>
  <r>
    <s v="ORD200945"/>
    <x v="38"/>
    <x v="940"/>
    <x v="2"/>
    <n v="5"/>
    <n v="276.44"/>
    <s v="619 Main St"/>
    <x v="3"/>
    <x v="0"/>
    <s v="TRK29976438"/>
    <n v="10"/>
    <s v="FREESHIP"/>
    <x v="1"/>
    <n v="1382.2"/>
  </r>
  <r>
    <s v="ORD200946"/>
    <x v="598"/>
    <x v="941"/>
    <x v="1"/>
    <n v="2"/>
    <n v="404.96"/>
    <s v="546 Main St"/>
    <x v="4"/>
    <x v="0"/>
    <s v="TRK20626179"/>
    <n v="4"/>
    <s v="SAVE10"/>
    <x v="2"/>
    <n v="809.92"/>
  </r>
  <r>
    <s v="ORD200947"/>
    <x v="599"/>
    <x v="942"/>
    <x v="1"/>
    <n v="4"/>
    <n v="465.66"/>
    <s v="119 Main St"/>
    <x v="1"/>
    <x v="2"/>
    <s v="TRK65994177"/>
    <n v="9"/>
    <s v="FREESHIP"/>
    <x v="2"/>
    <n v="1862.64"/>
  </r>
  <r>
    <s v="ORD200948"/>
    <x v="587"/>
    <x v="445"/>
    <x v="1"/>
    <n v="2"/>
    <n v="594.07000000000005"/>
    <s v="739 Main St"/>
    <x v="3"/>
    <x v="1"/>
    <s v="TRK79269291"/>
    <n v="2"/>
    <s v="None"/>
    <x v="4"/>
    <n v="1188.1400000000001"/>
  </r>
  <r>
    <s v="ORD200949"/>
    <x v="576"/>
    <x v="943"/>
    <x v="6"/>
    <n v="5"/>
    <n v="110.38"/>
    <s v="319 Main St"/>
    <x v="4"/>
    <x v="4"/>
    <s v="TRK93797108"/>
    <n v="10"/>
    <s v="None"/>
    <x v="1"/>
    <n v="551.9"/>
  </r>
  <r>
    <s v="ORD200950"/>
    <x v="583"/>
    <x v="944"/>
    <x v="5"/>
    <n v="1"/>
    <n v="596.24"/>
    <s v="891 Main St"/>
    <x v="2"/>
    <x v="2"/>
    <s v="TRK78094361"/>
    <n v="4"/>
    <s v="FREESHIP"/>
    <x v="0"/>
    <n v="596.24"/>
  </r>
  <r>
    <s v="ORD200951"/>
    <x v="319"/>
    <x v="945"/>
    <x v="4"/>
    <n v="2"/>
    <n v="306.24"/>
    <s v="589 Main St"/>
    <x v="1"/>
    <x v="2"/>
    <s v="TRK39845914"/>
    <n v="4"/>
    <s v="FREESHIP"/>
    <x v="2"/>
    <n v="612.48"/>
  </r>
  <r>
    <s v="ORD200952"/>
    <x v="37"/>
    <x v="946"/>
    <x v="0"/>
    <n v="3"/>
    <n v="503.39"/>
    <s v="225 Main St"/>
    <x v="1"/>
    <x v="4"/>
    <s v="TRK45303393"/>
    <n v="5"/>
    <s v="None"/>
    <x v="3"/>
    <n v="1510.17"/>
  </r>
  <r>
    <s v="ORD200953"/>
    <x v="600"/>
    <x v="947"/>
    <x v="1"/>
    <n v="1"/>
    <n v="131.61000000000001"/>
    <s v="971 Main St"/>
    <x v="4"/>
    <x v="0"/>
    <s v="TRK89392104"/>
    <n v="2"/>
    <s v="FREESHIP"/>
    <x v="3"/>
    <n v="131.61000000000001"/>
  </r>
  <r>
    <s v="ORD200954"/>
    <x v="601"/>
    <x v="948"/>
    <x v="3"/>
    <n v="3"/>
    <n v="443.44"/>
    <s v="240 Main St"/>
    <x v="3"/>
    <x v="0"/>
    <s v="TRK58273778"/>
    <n v="3"/>
    <s v="FREESHIP"/>
    <x v="4"/>
    <n v="1330.32"/>
  </r>
  <r>
    <s v="ORD200955"/>
    <x v="19"/>
    <x v="949"/>
    <x v="3"/>
    <n v="1"/>
    <n v="408.13"/>
    <s v="164 Main St"/>
    <x v="3"/>
    <x v="0"/>
    <s v="TRK25779180"/>
    <n v="3"/>
    <s v="WINTER15"/>
    <x v="0"/>
    <n v="408.13"/>
  </r>
  <r>
    <s v="ORD200956"/>
    <x v="166"/>
    <x v="781"/>
    <x v="1"/>
    <n v="2"/>
    <n v="160.97999999999999"/>
    <s v="381 Main St"/>
    <x v="0"/>
    <x v="3"/>
    <s v="TRK86246309"/>
    <n v="3"/>
    <s v="SAVE10"/>
    <x v="1"/>
    <n v="321.95999999999998"/>
  </r>
  <r>
    <s v="ORD200957"/>
    <x v="602"/>
    <x v="950"/>
    <x v="0"/>
    <n v="5"/>
    <n v="643.89"/>
    <s v="851 Main St"/>
    <x v="4"/>
    <x v="2"/>
    <s v="TRK23387612"/>
    <n v="8"/>
    <s v="WINTER15"/>
    <x v="3"/>
    <n v="3219.45"/>
  </r>
  <r>
    <s v="ORD200958"/>
    <x v="603"/>
    <x v="951"/>
    <x v="6"/>
    <n v="3"/>
    <n v="158.66"/>
    <s v="537 Main St"/>
    <x v="3"/>
    <x v="3"/>
    <s v="TRK70184320"/>
    <n v="7"/>
    <s v="WINTER15"/>
    <x v="2"/>
    <n v="475.98"/>
  </r>
  <r>
    <s v="ORD200959"/>
    <x v="604"/>
    <x v="952"/>
    <x v="2"/>
    <n v="2"/>
    <n v="143.82"/>
    <s v="856 Main St"/>
    <x v="2"/>
    <x v="2"/>
    <s v="TRK74579570"/>
    <n v="6"/>
    <s v="SAVE10"/>
    <x v="0"/>
    <n v="287.64"/>
  </r>
  <r>
    <s v="ORD200960"/>
    <x v="66"/>
    <x v="953"/>
    <x v="5"/>
    <n v="3"/>
    <n v="379.07"/>
    <s v="312 Main St"/>
    <x v="3"/>
    <x v="4"/>
    <s v="TRK60383805"/>
    <n v="3"/>
    <s v="WINTER15"/>
    <x v="4"/>
    <n v="1137.21"/>
  </r>
  <r>
    <s v="ORD200961"/>
    <x v="435"/>
    <x v="954"/>
    <x v="1"/>
    <n v="1"/>
    <n v="601.36"/>
    <s v="532 Main St"/>
    <x v="1"/>
    <x v="0"/>
    <s v="TRK81178598"/>
    <n v="1"/>
    <s v="None"/>
    <x v="3"/>
    <n v="601.36"/>
  </r>
  <r>
    <s v="ORD200962"/>
    <x v="605"/>
    <x v="955"/>
    <x v="1"/>
    <n v="2"/>
    <n v="142.08000000000001"/>
    <s v="838 Main St"/>
    <x v="3"/>
    <x v="3"/>
    <s v="TRK30674085"/>
    <n v="4"/>
    <s v="SAVE10"/>
    <x v="1"/>
    <n v="284.16000000000003"/>
  </r>
  <r>
    <s v="ORD200963"/>
    <x v="606"/>
    <x v="956"/>
    <x v="3"/>
    <n v="5"/>
    <n v="530.34"/>
    <s v="970 Main St"/>
    <x v="1"/>
    <x v="0"/>
    <s v="TRK42832976"/>
    <n v="9"/>
    <s v="FREESHIP"/>
    <x v="4"/>
    <n v="2651.7000000000003"/>
  </r>
  <r>
    <s v="ORD200964"/>
    <x v="38"/>
    <x v="957"/>
    <x v="1"/>
    <n v="5"/>
    <n v="364.42"/>
    <s v="778 Main St"/>
    <x v="2"/>
    <x v="1"/>
    <s v="TRK43084595"/>
    <n v="10"/>
    <s v="SAVE10"/>
    <x v="1"/>
    <n v="1822.1000000000001"/>
  </r>
  <r>
    <s v="ORD200965"/>
    <x v="607"/>
    <x v="958"/>
    <x v="5"/>
    <n v="4"/>
    <n v="578.28"/>
    <s v="791 Main St"/>
    <x v="3"/>
    <x v="1"/>
    <s v="TRK22192783"/>
    <n v="5"/>
    <s v="FREESHIP"/>
    <x v="2"/>
    <n v="2313.12"/>
  </r>
  <r>
    <s v="ORD200966"/>
    <x v="608"/>
    <x v="959"/>
    <x v="0"/>
    <n v="5"/>
    <n v="280.52"/>
    <s v="290 Main St"/>
    <x v="2"/>
    <x v="1"/>
    <s v="TRK12981657"/>
    <n v="7"/>
    <s v="WINTER15"/>
    <x v="3"/>
    <n v="1402.6"/>
  </r>
  <r>
    <s v="ORD200967"/>
    <x v="138"/>
    <x v="960"/>
    <x v="2"/>
    <n v="5"/>
    <n v="638.91999999999996"/>
    <s v="502 Main St"/>
    <x v="2"/>
    <x v="2"/>
    <s v="TRK67403284"/>
    <n v="5"/>
    <s v="FREESHIP"/>
    <x v="4"/>
    <n v="3194.6"/>
  </r>
  <r>
    <s v="ORD200968"/>
    <x v="458"/>
    <x v="961"/>
    <x v="0"/>
    <n v="4"/>
    <n v="412.2"/>
    <s v="664 Main St"/>
    <x v="2"/>
    <x v="0"/>
    <s v="TRK72602178"/>
    <n v="6"/>
    <s v="WINTER15"/>
    <x v="1"/>
    <n v="1648.8"/>
  </r>
  <r>
    <s v="ORD200969"/>
    <x v="85"/>
    <x v="962"/>
    <x v="6"/>
    <n v="1"/>
    <n v="440.34"/>
    <s v="675 Main St"/>
    <x v="3"/>
    <x v="0"/>
    <s v="TRK25383993"/>
    <n v="2"/>
    <s v="WINTER15"/>
    <x v="3"/>
    <n v="440.34"/>
  </r>
  <r>
    <s v="ORD200970"/>
    <x v="609"/>
    <x v="963"/>
    <x v="6"/>
    <n v="1"/>
    <n v="627.15"/>
    <s v="241 Main St"/>
    <x v="4"/>
    <x v="3"/>
    <s v="TRK86694331"/>
    <n v="5"/>
    <s v="SAVE10"/>
    <x v="0"/>
    <n v="627.15"/>
  </r>
  <r>
    <s v="ORD200971"/>
    <x v="582"/>
    <x v="964"/>
    <x v="0"/>
    <n v="2"/>
    <n v="605.26"/>
    <s v="934 Main St"/>
    <x v="4"/>
    <x v="1"/>
    <s v="TRK66648743"/>
    <n v="4"/>
    <s v="WINTER15"/>
    <x v="1"/>
    <n v="1210.52"/>
  </r>
  <r>
    <s v="ORD200972"/>
    <x v="410"/>
    <x v="965"/>
    <x v="5"/>
    <n v="1"/>
    <n v="90.27"/>
    <s v="816 Main St"/>
    <x v="4"/>
    <x v="3"/>
    <s v="TRK32035271"/>
    <n v="5"/>
    <s v="SAVE10"/>
    <x v="3"/>
    <n v="90.27"/>
  </r>
  <r>
    <s v="ORD200973"/>
    <x v="559"/>
    <x v="966"/>
    <x v="6"/>
    <n v="5"/>
    <n v="230.77"/>
    <s v="141 Main St"/>
    <x v="1"/>
    <x v="4"/>
    <s v="TRK50594008"/>
    <n v="10"/>
    <s v="WINTER15"/>
    <x v="1"/>
    <n v="1153.8500000000001"/>
  </r>
  <r>
    <s v="ORD200974"/>
    <x v="610"/>
    <x v="967"/>
    <x v="6"/>
    <n v="5"/>
    <n v="266.77999999999997"/>
    <s v="274 Main St"/>
    <x v="3"/>
    <x v="1"/>
    <s v="TRK52088168"/>
    <n v="5"/>
    <s v="None"/>
    <x v="2"/>
    <n v="1333.8999999999999"/>
  </r>
  <r>
    <s v="ORD200975"/>
    <x v="419"/>
    <x v="968"/>
    <x v="6"/>
    <n v="1"/>
    <n v="105.92"/>
    <s v="974 Main St"/>
    <x v="3"/>
    <x v="2"/>
    <s v="TRK82165408"/>
    <n v="6"/>
    <s v="SAVE10"/>
    <x v="2"/>
    <n v="105.92"/>
  </r>
  <r>
    <s v="ORD200976"/>
    <x v="172"/>
    <x v="969"/>
    <x v="2"/>
    <n v="3"/>
    <n v="589.29999999999995"/>
    <s v="650 Main St"/>
    <x v="2"/>
    <x v="2"/>
    <s v="TRK49298239"/>
    <n v="6"/>
    <s v="WINTER15"/>
    <x v="1"/>
    <n v="1767.8999999999999"/>
  </r>
  <r>
    <s v="ORD200977"/>
    <x v="423"/>
    <x v="970"/>
    <x v="3"/>
    <n v="4"/>
    <n v="649.47"/>
    <s v="608 Main St"/>
    <x v="4"/>
    <x v="4"/>
    <s v="TRK99820544"/>
    <n v="8"/>
    <s v="SAVE10"/>
    <x v="4"/>
    <n v="2597.88"/>
  </r>
  <r>
    <s v="ORD200978"/>
    <x v="611"/>
    <x v="971"/>
    <x v="4"/>
    <n v="4"/>
    <n v="107.49"/>
    <s v="993 Main St"/>
    <x v="4"/>
    <x v="3"/>
    <s v="TRK61047536"/>
    <n v="5"/>
    <s v="None"/>
    <x v="4"/>
    <n v="429.96"/>
  </r>
  <r>
    <s v="ORD200979"/>
    <x v="546"/>
    <x v="972"/>
    <x v="0"/>
    <n v="3"/>
    <n v="669.06"/>
    <s v="299 Main St"/>
    <x v="4"/>
    <x v="3"/>
    <s v="TRK51794806"/>
    <n v="7"/>
    <s v="SAVE10"/>
    <x v="3"/>
    <n v="2007.1799999999998"/>
  </r>
  <r>
    <s v="ORD200980"/>
    <x v="612"/>
    <x v="973"/>
    <x v="3"/>
    <n v="3"/>
    <n v="69.650000000000006"/>
    <s v="107 Main St"/>
    <x v="4"/>
    <x v="3"/>
    <s v="TRK81093218"/>
    <n v="7"/>
    <s v="WINTER15"/>
    <x v="0"/>
    <n v="208.95000000000002"/>
  </r>
  <r>
    <s v="ORD200981"/>
    <x v="371"/>
    <x v="974"/>
    <x v="1"/>
    <n v="4"/>
    <n v="136.83000000000001"/>
    <s v="490 Main St"/>
    <x v="0"/>
    <x v="4"/>
    <s v="TRK56379337"/>
    <n v="8"/>
    <s v="SAVE10"/>
    <x v="2"/>
    <n v="547.32000000000005"/>
  </r>
  <r>
    <s v="ORD200982"/>
    <x v="605"/>
    <x v="975"/>
    <x v="0"/>
    <n v="1"/>
    <n v="304.11"/>
    <s v="707 Main St"/>
    <x v="3"/>
    <x v="0"/>
    <s v="TRK42969065"/>
    <n v="2"/>
    <s v="SAVE10"/>
    <x v="1"/>
    <n v="304.11"/>
  </r>
  <r>
    <s v="ORD200983"/>
    <x v="167"/>
    <x v="976"/>
    <x v="0"/>
    <n v="4"/>
    <n v="296.27999999999997"/>
    <s v="110 Main St"/>
    <x v="3"/>
    <x v="0"/>
    <s v="TRK60865210"/>
    <n v="5"/>
    <s v="SAVE10"/>
    <x v="2"/>
    <n v="1185.1199999999999"/>
  </r>
  <r>
    <s v="ORD200984"/>
    <x v="252"/>
    <x v="977"/>
    <x v="6"/>
    <n v="1"/>
    <n v="77.64"/>
    <s v="706 Main St"/>
    <x v="2"/>
    <x v="0"/>
    <s v="TRK68704764"/>
    <n v="1"/>
    <s v="FREESHIP"/>
    <x v="3"/>
    <n v="77.64"/>
  </r>
  <r>
    <s v="ORD200985"/>
    <x v="351"/>
    <x v="978"/>
    <x v="6"/>
    <n v="1"/>
    <n v="243.71"/>
    <s v="948 Main St"/>
    <x v="3"/>
    <x v="3"/>
    <s v="TRK83835361"/>
    <n v="6"/>
    <s v="SAVE10"/>
    <x v="4"/>
    <n v="243.71"/>
  </r>
  <r>
    <s v="ORD200986"/>
    <x v="609"/>
    <x v="979"/>
    <x v="5"/>
    <n v="4"/>
    <n v="644.96"/>
    <s v="533 Main St"/>
    <x v="2"/>
    <x v="4"/>
    <s v="TRK67837331"/>
    <n v="7"/>
    <s v="FREESHIP"/>
    <x v="2"/>
    <n v="2579.84"/>
  </r>
  <r>
    <s v="ORD200987"/>
    <x v="85"/>
    <x v="980"/>
    <x v="1"/>
    <n v="5"/>
    <n v="283.73"/>
    <s v="436 Main St"/>
    <x v="3"/>
    <x v="4"/>
    <s v="TRK54120003"/>
    <n v="8"/>
    <s v="FREESHIP"/>
    <x v="0"/>
    <n v="1418.65"/>
  </r>
  <r>
    <s v="ORD200988"/>
    <x v="496"/>
    <x v="981"/>
    <x v="6"/>
    <n v="2"/>
    <n v="629.55999999999995"/>
    <s v="818 Main St"/>
    <x v="3"/>
    <x v="1"/>
    <s v="TRK52765043"/>
    <n v="5"/>
    <s v="WINTER15"/>
    <x v="0"/>
    <n v="1259.1199999999999"/>
  </r>
  <r>
    <s v="ORD200989"/>
    <x v="613"/>
    <x v="982"/>
    <x v="5"/>
    <n v="4"/>
    <n v="246.11"/>
    <s v="559 Main St"/>
    <x v="2"/>
    <x v="4"/>
    <s v="TRK33212013"/>
    <n v="4"/>
    <s v="SAVE10"/>
    <x v="0"/>
    <n v="984.44"/>
  </r>
  <r>
    <s v="ORD200990"/>
    <x v="614"/>
    <x v="983"/>
    <x v="1"/>
    <n v="2"/>
    <n v="418.26"/>
    <s v="913 Main St"/>
    <x v="0"/>
    <x v="4"/>
    <s v="TRK67368559"/>
    <n v="2"/>
    <s v="SAVE10"/>
    <x v="4"/>
    <n v="836.52"/>
  </r>
  <r>
    <s v="ORD200991"/>
    <x v="593"/>
    <x v="984"/>
    <x v="6"/>
    <n v="5"/>
    <n v="127.18"/>
    <s v="598 Main St"/>
    <x v="0"/>
    <x v="1"/>
    <s v="TRK68938335"/>
    <n v="10"/>
    <s v="FREESHIP"/>
    <x v="4"/>
    <n v="635.90000000000009"/>
  </r>
  <r>
    <s v="ORD200992"/>
    <x v="615"/>
    <x v="985"/>
    <x v="4"/>
    <n v="3"/>
    <n v="586.21"/>
    <s v="933 Main St"/>
    <x v="3"/>
    <x v="4"/>
    <s v="TRK89637569"/>
    <n v="4"/>
    <s v="WINTER15"/>
    <x v="1"/>
    <n v="1758.63"/>
  </r>
  <r>
    <s v="ORD200993"/>
    <x v="616"/>
    <x v="986"/>
    <x v="0"/>
    <n v="3"/>
    <n v="267.45"/>
    <s v="576 Main St"/>
    <x v="3"/>
    <x v="3"/>
    <s v="TRK33323210"/>
    <n v="5"/>
    <s v="WINTER15"/>
    <x v="0"/>
    <n v="802.34999999999991"/>
  </r>
  <r>
    <s v="ORD200994"/>
    <x v="326"/>
    <x v="987"/>
    <x v="2"/>
    <n v="4"/>
    <n v="615.65"/>
    <s v="971 Main St"/>
    <x v="0"/>
    <x v="3"/>
    <s v="TRK63701318"/>
    <n v="9"/>
    <s v="WINTER15"/>
    <x v="4"/>
    <n v="2462.6"/>
  </r>
  <r>
    <s v="ORD200995"/>
    <x v="134"/>
    <x v="988"/>
    <x v="0"/>
    <n v="2"/>
    <n v="113.29"/>
    <s v="959 Main St"/>
    <x v="4"/>
    <x v="4"/>
    <s v="TRK87832736"/>
    <n v="5"/>
    <s v="SAVE10"/>
    <x v="3"/>
    <n v="226.58"/>
  </r>
  <r>
    <s v="ORD200996"/>
    <x v="578"/>
    <x v="989"/>
    <x v="0"/>
    <n v="4"/>
    <n v="473.86"/>
    <s v="101 Main St"/>
    <x v="0"/>
    <x v="3"/>
    <s v="TRK92240846"/>
    <n v="7"/>
    <s v="SAVE10"/>
    <x v="3"/>
    <n v="1895.44"/>
  </r>
  <r>
    <s v="ORD200997"/>
    <x v="110"/>
    <x v="990"/>
    <x v="5"/>
    <n v="3"/>
    <n v="444.75"/>
    <s v="805 Main St"/>
    <x v="4"/>
    <x v="3"/>
    <s v="TRK40616861"/>
    <n v="6"/>
    <s v="SAVE10"/>
    <x v="3"/>
    <n v="1334.25"/>
  </r>
  <r>
    <s v="ORD200998"/>
    <x v="213"/>
    <x v="991"/>
    <x v="1"/>
    <n v="2"/>
    <n v="183.67"/>
    <s v="783 Main St"/>
    <x v="0"/>
    <x v="1"/>
    <s v="TRK22824230"/>
    <n v="6"/>
    <s v="SAVE10"/>
    <x v="4"/>
    <n v="367.34"/>
  </r>
  <r>
    <s v="ORD200999"/>
    <x v="478"/>
    <x v="992"/>
    <x v="4"/>
    <n v="1"/>
    <n v="483.38"/>
    <s v="652 Main St"/>
    <x v="4"/>
    <x v="4"/>
    <s v="TRK43983841"/>
    <n v="6"/>
    <s v="FREESHIP"/>
    <x v="4"/>
    <n v="483.38"/>
  </r>
  <r>
    <s v="ORD201000"/>
    <x v="617"/>
    <x v="993"/>
    <x v="4"/>
    <n v="5"/>
    <n v="260.93"/>
    <s v="582 Main St"/>
    <x v="1"/>
    <x v="3"/>
    <s v="TRK52664903"/>
    <n v="9"/>
    <s v="SAVE10"/>
    <x v="2"/>
    <n v="1304.6500000000001"/>
  </r>
  <r>
    <s v="ORD201001"/>
    <x v="618"/>
    <x v="994"/>
    <x v="4"/>
    <n v="2"/>
    <n v="253.68"/>
    <s v="122 Main St"/>
    <x v="3"/>
    <x v="0"/>
    <s v="TRK19554327"/>
    <n v="6"/>
    <s v="None"/>
    <x v="1"/>
    <n v="507.36"/>
  </r>
  <r>
    <s v="ORD201002"/>
    <x v="619"/>
    <x v="995"/>
    <x v="2"/>
    <n v="4"/>
    <n v="699.88"/>
    <s v="944 Main St"/>
    <x v="4"/>
    <x v="4"/>
    <s v="TRK33188106"/>
    <n v="5"/>
    <s v="WINTER15"/>
    <x v="1"/>
    <n v="2799.52"/>
  </r>
  <r>
    <s v="ORD201003"/>
    <x v="348"/>
    <x v="996"/>
    <x v="4"/>
    <n v="5"/>
    <n v="319.97000000000003"/>
    <s v="582 Main St"/>
    <x v="4"/>
    <x v="0"/>
    <s v="TRK14706969"/>
    <n v="7"/>
    <s v="SAVE10"/>
    <x v="4"/>
    <n v="1599.8500000000001"/>
  </r>
  <r>
    <s v="ORD201004"/>
    <x v="559"/>
    <x v="997"/>
    <x v="3"/>
    <n v="4"/>
    <n v="246.91"/>
    <s v="296 Main St"/>
    <x v="1"/>
    <x v="4"/>
    <s v="TRK15739505"/>
    <n v="8"/>
    <s v="SAVE10"/>
    <x v="1"/>
    <n v="987.64"/>
  </r>
  <r>
    <s v="ORD201005"/>
    <x v="521"/>
    <x v="998"/>
    <x v="4"/>
    <n v="3"/>
    <n v="392.85"/>
    <s v="426 Main St"/>
    <x v="2"/>
    <x v="2"/>
    <s v="TRK11448295"/>
    <n v="6"/>
    <s v="None"/>
    <x v="4"/>
    <n v="1178.5500000000002"/>
  </r>
  <r>
    <s v="ORD201006"/>
    <x v="582"/>
    <x v="999"/>
    <x v="2"/>
    <n v="5"/>
    <n v="420.98"/>
    <s v="860 Main St"/>
    <x v="4"/>
    <x v="3"/>
    <s v="TRK91458233"/>
    <n v="7"/>
    <s v="SAVE10"/>
    <x v="3"/>
    <n v="2104.9"/>
  </r>
  <r>
    <s v="ORD201007"/>
    <x v="591"/>
    <x v="485"/>
    <x v="0"/>
    <n v="2"/>
    <n v="73.260000000000005"/>
    <s v="839 Main St"/>
    <x v="4"/>
    <x v="4"/>
    <s v="TRK60444502"/>
    <n v="4"/>
    <s v="WINTER15"/>
    <x v="3"/>
    <n v="146.52000000000001"/>
  </r>
  <r>
    <s v="ORD201008"/>
    <x v="620"/>
    <x v="1000"/>
    <x v="0"/>
    <n v="3"/>
    <n v="410.88"/>
    <s v="257 Main St"/>
    <x v="4"/>
    <x v="3"/>
    <s v="TRK12742366"/>
    <n v="8"/>
    <s v="FREESHIP"/>
    <x v="0"/>
    <n v="1232.6399999999999"/>
  </r>
  <r>
    <s v="ORD201009"/>
    <x v="621"/>
    <x v="1001"/>
    <x v="2"/>
    <n v="2"/>
    <n v="176.46"/>
    <s v="696 Main St"/>
    <x v="2"/>
    <x v="3"/>
    <s v="TRK95958645"/>
    <n v="2"/>
    <s v="FREESHIP"/>
    <x v="2"/>
    <n v="352.92"/>
  </r>
  <r>
    <s v="ORD201010"/>
    <x v="622"/>
    <x v="1002"/>
    <x v="0"/>
    <n v="3"/>
    <n v="659.57"/>
    <s v="533 Main St"/>
    <x v="2"/>
    <x v="1"/>
    <s v="TRK35649833"/>
    <n v="6"/>
    <s v="SAVE10"/>
    <x v="2"/>
    <n v="1978.71"/>
  </r>
  <r>
    <s v="ORD201011"/>
    <x v="623"/>
    <x v="1003"/>
    <x v="1"/>
    <n v="2"/>
    <n v="478.36"/>
    <s v="654 Main St"/>
    <x v="1"/>
    <x v="0"/>
    <s v="TRK22271097"/>
    <n v="3"/>
    <s v="None"/>
    <x v="4"/>
    <n v="956.72"/>
  </r>
  <r>
    <s v="ORD201012"/>
    <x v="623"/>
    <x v="1004"/>
    <x v="4"/>
    <n v="4"/>
    <n v="30.05"/>
    <s v="301 Main St"/>
    <x v="1"/>
    <x v="2"/>
    <s v="TRK12551882"/>
    <n v="6"/>
    <s v="None"/>
    <x v="3"/>
    <n v="120.2"/>
  </r>
  <r>
    <s v="ORD201013"/>
    <x v="624"/>
    <x v="1005"/>
    <x v="5"/>
    <n v="4"/>
    <n v="300.56"/>
    <s v="842 Main St"/>
    <x v="4"/>
    <x v="1"/>
    <s v="TRK49568409"/>
    <n v="9"/>
    <s v="FREESHIP"/>
    <x v="3"/>
    <n v="1202.24"/>
  </r>
  <r>
    <s v="ORD201014"/>
    <x v="389"/>
    <x v="1006"/>
    <x v="2"/>
    <n v="5"/>
    <n v="226.45"/>
    <s v="160 Main St"/>
    <x v="0"/>
    <x v="2"/>
    <s v="TRK21682892"/>
    <n v="6"/>
    <s v="FREESHIP"/>
    <x v="2"/>
    <n v="1132.25"/>
  </r>
  <r>
    <s v="ORD201015"/>
    <x v="547"/>
    <x v="1007"/>
    <x v="4"/>
    <n v="2"/>
    <n v="349.4"/>
    <s v="892 Main St"/>
    <x v="1"/>
    <x v="0"/>
    <s v="TRK73249329"/>
    <n v="2"/>
    <s v="SAVE10"/>
    <x v="0"/>
    <n v="698.8"/>
  </r>
  <r>
    <s v="ORD201016"/>
    <x v="10"/>
    <x v="1008"/>
    <x v="2"/>
    <n v="5"/>
    <n v="268.77999999999997"/>
    <s v="669 Main St"/>
    <x v="0"/>
    <x v="3"/>
    <s v="TRK62135578"/>
    <n v="7"/>
    <s v="WINTER15"/>
    <x v="2"/>
    <n v="1343.8999999999999"/>
  </r>
  <r>
    <s v="ORD201017"/>
    <x v="625"/>
    <x v="1009"/>
    <x v="3"/>
    <n v="2"/>
    <n v="680.85"/>
    <s v="953 Main St"/>
    <x v="3"/>
    <x v="3"/>
    <s v="TRK83122112"/>
    <n v="6"/>
    <s v="FREESHIP"/>
    <x v="1"/>
    <n v="1361.7"/>
  </r>
  <r>
    <s v="ORD201018"/>
    <x v="307"/>
    <x v="1010"/>
    <x v="5"/>
    <n v="3"/>
    <n v="182.48"/>
    <s v="209 Main St"/>
    <x v="4"/>
    <x v="3"/>
    <s v="TRK20703086"/>
    <n v="3"/>
    <s v="None"/>
    <x v="0"/>
    <n v="547.43999999999994"/>
  </r>
  <r>
    <s v="ORD201019"/>
    <x v="616"/>
    <x v="1011"/>
    <x v="6"/>
    <n v="1"/>
    <n v="277.08999999999997"/>
    <s v="293 Main St"/>
    <x v="4"/>
    <x v="2"/>
    <s v="TRK32954229"/>
    <n v="2"/>
    <s v="SAVE10"/>
    <x v="1"/>
    <n v="277.08999999999997"/>
  </r>
  <r>
    <s v="ORD201020"/>
    <x v="181"/>
    <x v="1012"/>
    <x v="2"/>
    <n v="2"/>
    <n v="26.5"/>
    <s v="312 Main St"/>
    <x v="1"/>
    <x v="3"/>
    <s v="TRK47787981"/>
    <n v="3"/>
    <s v="SAVE10"/>
    <x v="0"/>
    <n v="53"/>
  </r>
  <r>
    <s v="ORD201021"/>
    <x v="5"/>
    <x v="1013"/>
    <x v="1"/>
    <n v="3"/>
    <n v="315.27"/>
    <s v="309 Main St"/>
    <x v="2"/>
    <x v="1"/>
    <s v="TRK97351945"/>
    <n v="4"/>
    <s v="SAVE10"/>
    <x v="2"/>
    <n v="945.81"/>
  </r>
  <r>
    <s v="ORD201022"/>
    <x v="522"/>
    <x v="1014"/>
    <x v="2"/>
    <n v="3"/>
    <n v="450.98"/>
    <s v="396 Main St"/>
    <x v="2"/>
    <x v="0"/>
    <s v="TRK66537096"/>
    <n v="8"/>
    <s v="SAVE10"/>
    <x v="1"/>
    <n v="1352.94"/>
  </r>
  <r>
    <s v="ORD201023"/>
    <x v="296"/>
    <x v="1015"/>
    <x v="5"/>
    <n v="5"/>
    <n v="233.67"/>
    <s v="291 Main St"/>
    <x v="4"/>
    <x v="0"/>
    <s v="TRK32059025"/>
    <n v="10"/>
    <s v="None"/>
    <x v="1"/>
    <n v="1168.3499999999999"/>
  </r>
  <r>
    <s v="ORD201024"/>
    <x v="412"/>
    <x v="1016"/>
    <x v="3"/>
    <n v="3"/>
    <n v="367.75"/>
    <s v="731 Main St"/>
    <x v="4"/>
    <x v="4"/>
    <s v="TRK93022878"/>
    <n v="7"/>
    <s v="FREESHIP"/>
    <x v="3"/>
    <n v="1103.25"/>
  </r>
  <r>
    <s v="ORD201025"/>
    <x v="271"/>
    <x v="1017"/>
    <x v="3"/>
    <n v="1"/>
    <n v="23.53"/>
    <s v="174 Main St"/>
    <x v="3"/>
    <x v="3"/>
    <s v="TRK98841457"/>
    <n v="2"/>
    <s v="FREESHIP"/>
    <x v="0"/>
    <n v="23.53"/>
  </r>
  <r>
    <s v="ORD201026"/>
    <x v="31"/>
    <x v="1018"/>
    <x v="0"/>
    <n v="1"/>
    <n v="677.48"/>
    <s v="807 Main St"/>
    <x v="1"/>
    <x v="3"/>
    <s v="TRK13281370"/>
    <n v="1"/>
    <s v="WINTER15"/>
    <x v="3"/>
    <n v="677.48"/>
  </r>
  <r>
    <s v="ORD201027"/>
    <x v="626"/>
    <x v="1019"/>
    <x v="5"/>
    <n v="4"/>
    <n v="554.83000000000004"/>
    <s v="983 Main St"/>
    <x v="4"/>
    <x v="2"/>
    <s v="TRK77377373"/>
    <n v="6"/>
    <s v="None"/>
    <x v="4"/>
    <n v="2219.3200000000002"/>
  </r>
  <r>
    <s v="ORD201028"/>
    <x v="96"/>
    <x v="1020"/>
    <x v="6"/>
    <n v="4"/>
    <n v="440.31"/>
    <s v="610 Main St"/>
    <x v="4"/>
    <x v="1"/>
    <s v="TRK84651559"/>
    <n v="6"/>
    <s v="None"/>
    <x v="0"/>
    <n v="1761.24"/>
  </r>
  <r>
    <s v="ORD201029"/>
    <x v="627"/>
    <x v="1021"/>
    <x v="6"/>
    <n v="1"/>
    <n v="87.06"/>
    <s v="851 Main St"/>
    <x v="2"/>
    <x v="0"/>
    <s v="TRK41500198"/>
    <n v="4"/>
    <s v="FREESHIP"/>
    <x v="2"/>
    <n v="87.06"/>
  </r>
  <r>
    <s v="ORD201030"/>
    <x v="276"/>
    <x v="1022"/>
    <x v="1"/>
    <n v="4"/>
    <n v="245.28"/>
    <s v="176 Main St"/>
    <x v="2"/>
    <x v="3"/>
    <s v="TRK12936357"/>
    <n v="6"/>
    <s v="WINTER15"/>
    <x v="2"/>
    <n v="981.12"/>
  </r>
  <r>
    <s v="ORD201031"/>
    <x v="285"/>
    <x v="1023"/>
    <x v="1"/>
    <n v="5"/>
    <n v="664.51"/>
    <s v="136 Main St"/>
    <x v="0"/>
    <x v="4"/>
    <s v="TRK18129706"/>
    <n v="8"/>
    <s v="SAVE10"/>
    <x v="2"/>
    <n v="3322.55"/>
  </r>
  <r>
    <s v="ORD201032"/>
    <x v="197"/>
    <x v="1024"/>
    <x v="3"/>
    <n v="1"/>
    <n v="618.67999999999995"/>
    <s v="990 Main St"/>
    <x v="1"/>
    <x v="3"/>
    <s v="TRK61634201"/>
    <n v="6"/>
    <s v="WINTER15"/>
    <x v="1"/>
    <n v="618.67999999999995"/>
  </r>
  <r>
    <s v="ORD201033"/>
    <x v="628"/>
    <x v="1025"/>
    <x v="0"/>
    <n v="1"/>
    <n v="370.85"/>
    <s v="331 Main St"/>
    <x v="3"/>
    <x v="3"/>
    <s v="TRK30654048"/>
    <n v="2"/>
    <s v="FREESHIP"/>
    <x v="1"/>
    <n v="370.85"/>
  </r>
  <r>
    <s v="ORD201034"/>
    <x v="452"/>
    <x v="1026"/>
    <x v="4"/>
    <n v="4"/>
    <n v="517.98"/>
    <s v="766 Main St"/>
    <x v="4"/>
    <x v="1"/>
    <s v="TRK76751888"/>
    <n v="8"/>
    <s v="FREESHIP"/>
    <x v="3"/>
    <n v="2071.92"/>
  </r>
  <r>
    <s v="ORD201035"/>
    <x v="629"/>
    <x v="1027"/>
    <x v="5"/>
    <n v="4"/>
    <n v="506.11"/>
    <s v="911 Main St"/>
    <x v="4"/>
    <x v="1"/>
    <s v="TRK97732085"/>
    <n v="5"/>
    <s v="None"/>
    <x v="1"/>
    <n v="2024.44"/>
  </r>
  <r>
    <s v="ORD201036"/>
    <x v="583"/>
    <x v="1028"/>
    <x v="1"/>
    <n v="3"/>
    <n v="413.83"/>
    <s v="552 Main St"/>
    <x v="3"/>
    <x v="0"/>
    <s v="TRK49684737"/>
    <n v="8"/>
    <s v="SAVE10"/>
    <x v="3"/>
    <n v="1241.49"/>
  </r>
  <r>
    <s v="ORD201037"/>
    <x v="141"/>
    <x v="1029"/>
    <x v="4"/>
    <n v="1"/>
    <n v="249.81"/>
    <s v="408 Main St"/>
    <x v="4"/>
    <x v="4"/>
    <s v="TRK54073964"/>
    <n v="1"/>
    <s v="SAVE10"/>
    <x v="4"/>
    <n v="249.81"/>
  </r>
  <r>
    <s v="ORD201038"/>
    <x v="175"/>
    <x v="1030"/>
    <x v="2"/>
    <n v="3"/>
    <n v="362.53"/>
    <s v="422 Main St"/>
    <x v="0"/>
    <x v="2"/>
    <s v="TRK28969024"/>
    <n v="5"/>
    <s v="None"/>
    <x v="3"/>
    <n v="1087.5899999999999"/>
  </r>
  <r>
    <s v="ORD201039"/>
    <x v="164"/>
    <x v="1031"/>
    <x v="6"/>
    <n v="2"/>
    <n v="299.23"/>
    <s v="177 Main St"/>
    <x v="2"/>
    <x v="1"/>
    <s v="TRK79362428"/>
    <n v="2"/>
    <s v="WINTER15"/>
    <x v="0"/>
    <n v="598.46"/>
  </r>
  <r>
    <s v="ORD201040"/>
    <x v="375"/>
    <x v="1032"/>
    <x v="2"/>
    <n v="1"/>
    <n v="536.07000000000005"/>
    <s v="932 Main St"/>
    <x v="0"/>
    <x v="3"/>
    <s v="TRK66288666"/>
    <n v="5"/>
    <s v="FREESHIP"/>
    <x v="4"/>
    <n v="536.07000000000005"/>
  </r>
  <r>
    <s v="ORD201041"/>
    <x v="91"/>
    <x v="1033"/>
    <x v="0"/>
    <n v="4"/>
    <n v="558.9"/>
    <s v="948 Main St"/>
    <x v="3"/>
    <x v="0"/>
    <s v="TRK97737564"/>
    <n v="9"/>
    <s v="WINTER15"/>
    <x v="4"/>
    <n v="2235.6"/>
  </r>
  <r>
    <s v="ORD201042"/>
    <x v="65"/>
    <x v="1034"/>
    <x v="2"/>
    <n v="2"/>
    <n v="409.75"/>
    <s v="414 Main St"/>
    <x v="0"/>
    <x v="0"/>
    <s v="TRK67878272"/>
    <n v="2"/>
    <s v="WINTER15"/>
    <x v="3"/>
    <n v="819.5"/>
  </r>
  <r>
    <s v="ORD201043"/>
    <x v="630"/>
    <x v="1035"/>
    <x v="2"/>
    <n v="2"/>
    <n v="179.96"/>
    <s v="675 Main St"/>
    <x v="3"/>
    <x v="0"/>
    <s v="TRK94346739"/>
    <n v="5"/>
    <s v="None"/>
    <x v="0"/>
    <n v="359.92"/>
  </r>
  <r>
    <s v="ORD201044"/>
    <x v="450"/>
    <x v="1036"/>
    <x v="4"/>
    <n v="1"/>
    <n v="38.49"/>
    <s v="215 Main St"/>
    <x v="2"/>
    <x v="3"/>
    <s v="TRK52335337"/>
    <n v="4"/>
    <s v="FREESHIP"/>
    <x v="1"/>
    <n v="38.49"/>
  </r>
  <r>
    <s v="ORD201045"/>
    <x v="28"/>
    <x v="1037"/>
    <x v="5"/>
    <n v="5"/>
    <n v="316.39999999999998"/>
    <s v="671 Main St"/>
    <x v="3"/>
    <x v="2"/>
    <s v="TRK72012758"/>
    <n v="7"/>
    <s v="None"/>
    <x v="2"/>
    <n v="1582"/>
  </r>
  <r>
    <s v="ORD201046"/>
    <x v="550"/>
    <x v="1038"/>
    <x v="2"/>
    <n v="3"/>
    <n v="547.15"/>
    <s v="466 Main St"/>
    <x v="1"/>
    <x v="0"/>
    <s v="TRK16524006"/>
    <n v="4"/>
    <s v="WINTER15"/>
    <x v="0"/>
    <n v="1641.4499999999998"/>
  </r>
  <r>
    <s v="ORD201047"/>
    <x v="467"/>
    <x v="1039"/>
    <x v="3"/>
    <n v="4"/>
    <n v="540.34"/>
    <s v="394 Main St"/>
    <x v="3"/>
    <x v="0"/>
    <s v="TRK69872994"/>
    <n v="6"/>
    <s v="WINTER15"/>
    <x v="1"/>
    <n v="2161.36"/>
  </r>
  <r>
    <s v="ORD201048"/>
    <x v="82"/>
    <x v="1040"/>
    <x v="0"/>
    <n v="4"/>
    <n v="73.650000000000006"/>
    <s v="889 Main St"/>
    <x v="0"/>
    <x v="0"/>
    <s v="TRK21153699"/>
    <n v="9"/>
    <s v="None"/>
    <x v="4"/>
    <n v="294.60000000000002"/>
  </r>
  <r>
    <s v="ORD201049"/>
    <x v="408"/>
    <x v="1041"/>
    <x v="6"/>
    <n v="5"/>
    <n v="391.86"/>
    <s v="587 Main St"/>
    <x v="2"/>
    <x v="0"/>
    <s v="TRK44468232"/>
    <n v="6"/>
    <s v="None"/>
    <x v="0"/>
    <n v="1959.3000000000002"/>
  </r>
  <r>
    <s v="ORD201050"/>
    <x v="38"/>
    <x v="1042"/>
    <x v="5"/>
    <n v="5"/>
    <n v="69.7"/>
    <s v="722 Main St"/>
    <x v="1"/>
    <x v="2"/>
    <s v="TRK49663597"/>
    <n v="9"/>
    <s v="None"/>
    <x v="0"/>
    <n v="348.5"/>
  </r>
  <r>
    <s v="ORD201051"/>
    <x v="376"/>
    <x v="1043"/>
    <x v="0"/>
    <n v="5"/>
    <n v="26.43"/>
    <s v="820 Main St"/>
    <x v="3"/>
    <x v="0"/>
    <s v="TRK65097450"/>
    <n v="5"/>
    <s v="FREESHIP"/>
    <x v="3"/>
    <n v="132.15"/>
  </r>
  <r>
    <s v="ORD201052"/>
    <x v="631"/>
    <x v="1044"/>
    <x v="2"/>
    <n v="1"/>
    <n v="531.74"/>
    <s v="493 Main St"/>
    <x v="1"/>
    <x v="0"/>
    <s v="TRK25145796"/>
    <n v="1"/>
    <s v="WINTER15"/>
    <x v="4"/>
    <n v="531.74"/>
  </r>
  <r>
    <s v="ORD201053"/>
    <x v="632"/>
    <x v="1045"/>
    <x v="1"/>
    <n v="2"/>
    <n v="496.62"/>
    <s v="679 Main St"/>
    <x v="1"/>
    <x v="4"/>
    <s v="TRK37375451"/>
    <n v="2"/>
    <s v="SAVE10"/>
    <x v="0"/>
    <n v="993.24"/>
  </r>
  <r>
    <s v="ORD201054"/>
    <x v="633"/>
    <x v="1046"/>
    <x v="4"/>
    <n v="1"/>
    <n v="660.66"/>
    <s v="447 Main St"/>
    <x v="0"/>
    <x v="3"/>
    <s v="TRK46415143"/>
    <n v="3"/>
    <s v="WINTER15"/>
    <x v="0"/>
    <n v="660.66"/>
  </r>
  <r>
    <s v="ORD201055"/>
    <x v="5"/>
    <x v="1047"/>
    <x v="0"/>
    <n v="4"/>
    <n v="274.82"/>
    <s v="932 Main St"/>
    <x v="0"/>
    <x v="3"/>
    <s v="TRK91512567"/>
    <n v="9"/>
    <s v="WINTER15"/>
    <x v="2"/>
    <n v="1099.28"/>
  </r>
  <r>
    <s v="ORD201056"/>
    <x v="280"/>
    <x v="1048"/>
    <x v="1"/>
    <n v="2"/>
    <n v="486.35"/>
    <s v="790 Main St"/>
    <x v="1"/>
    <x v="4"/>
    <s v="TRK49382455"/>
    <n v="6"/>
    <s v="SAVE10"/>
    <x v="1"/>
    <n v="972.7"/>
  </r>
  <r>
    <s v="ORD201057"/>
    <x v="634"/>
    <x v="1049"/>
    <x v="5"/>
    <n v="3"/>
    <n v="428.88"/>
    <s v="535 Main St"/>
    <x v="0"/>
    <x v="0"/>
    <s v="TRK81611937"/>
    <n v="3"/>
    <s v="WINTER15"/>
    <x v="3"/>
    <n v="1286.6399999999999"/>
  </r>
  <r>
    <s v="ORD201058"/>
    <x v="102"/>
    <x v="1050"/>
    <x v="6"/>
    <n v="2"/>
    <n v="412.14"/>
    <s v="127 Main St"/>
    <x v="2"/>
    <x v="2"/>
    <s v="TRK26949106"/>
    <n v="2"/>
    <s v="FREESHIP"/>
    <x v="0"/>
    <n v="824.28"/>
  </r>
  <r>
    <s v="ORD201059"/>
    <x v="491"/>
    <x v="1051"/>
    <x v="6"/>
    <n v="1"/>
    <n v="265.64"/>
    <s v="601 Main St"/>
    <x v="2"/>
    <x v="2"/>
    <s v="TRK11492924"/>
    <n v="3"/>
    <s v="WINTER15"/>
    <x v="0"/>
    <n v="265.64"/>
  </r>
  <r>
    <s v="ORD201060"/>
    <x v="635"/>
    <x v="1052"/>
    <x v="2"/>
    <n v="2"/>
    <n v="273.43"/>
    <s v="824 Main St"/>
    <x v="4"/>
    <x v="0"/>
    <s v="TRK93370912"/>
    <n v="7"/>
    <s v="WINTER15"/>
    <x v="1"/>
    <n v="546.86"/>
  </r>
  <r>
    <s v="ORD201061"/>
    <x v="636"/>
    <x v="1053"/>
    <x v="5"/>
    <n v="5"/>
    <n v="131.69999999999999"/>
    <s v="830 Main St"/>
    <x v="4"/>
    <x v="0"/>
    <s v="TRK12402431"/>
    <n v="8"/>
    <s v="FREESHIP"/>
    <x v="4"/>
    <n v="658.5"/>
  </r>
  <r>
    <s v="ORD201062"/>
    <x v="421"/>
    <x v="1054"/>
    <x v="3"/>
    <n v="5"/>
    <n v="85.52"/>
    <s v="301 Main St"/>
    <x v="3"/>
    <x v="1"/>
    <s v="TRK65149372"/>
    <n v="5"/>
    <s v="None"/>
    <x v="3"/>
    <n v="427.59999999999997"/>
  </r>
  <r>
    <s v="ORD201063"/>
    <x v="83"/>
    <x v="1055"/>
    <x v="6"/>
    <n v="2"/>
    <n v="320.68"/>
    <s v="336 Main St"/>
    <x v="2"/>
    <x v="0"/>
    <s v="TRK58407918"/>
    <n v="5"/>
    <s v="FREESHIP"/>
    <x v="1"/>
    <n v="641.36"/>
  </r>
  <r>
    <s v="ORD201064"/>
    <x v="637"/>
    <x v="1056"/>
    <x v="5"/>
    <n v="4"/>
    <n v="198.81"/>
    <s v="654 Main St"/>
    <x v="4"/>
    <x v="2"/>
    <s v="TRK96074264"/>
    <n v="9"/>
    <s v="FREESHIP"/>
    <x v="1"/>
    <n v="795.24"/>
  </r>
  <r>
    <s v="ORD201065"/>
    <x v="638"/>
    <x v="1057"/>
    <x v="4"/>
    <n v="5"/>
    <n v="666.8"/>
    <s v="488 Main St"/>
    <x v="0"/>
    <x v="3"/>
    <s v="TRK79504329"/>
    <n v="7"/>
    <s v="SAVE10"/>
    <x v="1"/>
    <n v="3334"/>
  </r>
  <r>
    <s v="ORD201066"/>
    <x v="639"/>
    <x v="1058"/>
    <x v="6"/>
    <n v="1"/>
    <n v="355.09"/>
    <s v="674 Main St"/>
    <x v="0"/>
    <x v="1"/>
    <s v="TRK20321248"/>
    <n v="5"/>
    <s v="SAVE10"/>
    <x v="0"/>
    <n v="355.09"/>
  </r>
  <r>
    <s v="ORD201067"/>
    <x v="640"/>
    <x v="1059"/>
    <x v="1"/>
    <n v="2"/>
    <n v="316.2"/>
    <s v="384 Main St"/>
    <x v="1"/>
    <x v="2"/>
    <s v="TRK37426359"/>
    <n v="2"/>
    <s v="None"/>
    <x v="0"/>
    <n v="632.4"/>
  </r>
  <r>
    <s v="ORD201068"/>
    <x v="240"/>
    <x v="1060"/>
    <x v="5"/>
    <n v="1"/>
    <n v="133.38999999999999"/>
    <s v="469 Main St"/>
    <x v="0"/>
    <x v="0"/>
    <s v="TRK22073506"/>
    <n v="2"/>
    <s v="SAVE10"/>
    <x v="1"/>
    <n v="133.38999999999999"/>
  </r>
  <r>
    <s v="ORD201069"/>
    <x v="641"/>
    <x v="1061"/>
    <x v="0"/>
    <n v="1"/>
    <n v="454.23"/>
    <s v="255 Main St"/>
    <x v="3"/>
    <x v="2"/>
    <s v="TRK12518384"/>
    <n v="3"/>
    <s v="None"/>
    <x v="3"/>
    <n v="454.23"/>
  </r>
  <r>
    <s v="ORD201070"/>
    <x v="605"/>
    <x v="1062"/>
    <x v="6"/>
    <n v="4"/>
    <n v="491.29"/>
    <s v="496 Main St"/>
    <x v="0"/>
    <x v="4"/>
    <s v="TRK10926575"/>
    <n v="6"/>
    <s v="None"/>
    <x v="2"/>
    <n v="1965.16"/>
  </r>
  <r>
    <s v="ORD201071"/>
    <x v="53"/>
    <x v="1063"/>
    <x v="1"/>
    <n v="2"/>
    <n v="255.14"/>
    <s v="216 Main St"/>
    <x v="4"/>
    <x v="0"/>
    <s v="TRK47536985"/>
    <n v="2"/>
    <s v="None"/>
    <x v="4"/>
    <n v="510.28"/>
  </r>
  <r>
    <s v="ORD201072"/>
    <x v="297"/>
    <x v="1064"/>
    <x v="0"/>
    <n v="1"/>
    <n v="392.61"/>
    <s v="977 Main St"/>
    <x v="3"/>
    <x v="1"/>
    <s v="TRK14900878"/>
    <n v="4"/>
    <s v="SAVE10"/>
    <x v="1"/>
    <n v="392.61"/>
  </r>
  <r>
    <s v="ORD201073"/>
    <x v="642"/>
    <x v="1065"/>
    <x v="2"/>
    <n v="4"/>
    <n v="362.06"/>
    <s v="294 Main St"/>
    <x v="0"/>
    <x v="2"/>
    <s v="TRK11107152"/>
    <n v="4"/>
    <s v="None"/>
    <x v="3"/>
    <n v="1448.24"/>
  </r>
  <r>
    <s v="ORD201074"/>
    <x v="451"/>
    <x v="1066"/>
    <x v="1"/>
    <n v="1"/>
    <n v="222.73"/>
    <s v="120 Main St"/>
    <x v="1"/>
    <x v="2"/>
    <s v="TRK81624772"/>
    <n v="4"/>
    <s v="None"/>
    <x v="4"/>
    <n v="222.73"/>
  </r>
  <r>
    <s v="ORD201075"/>
    <x v="169"/>
    <x v="1067"/>
    <x v="0"/>
    <n v="2"/>
    <n v="552.63"/>
    <s v="609 Main St"/>
    <x v="0"/>
    <x v="3"/>
    <s v="TRK43066749"/>
    <n v="7"/>
    <s v="WINTER15"/>
    <x v="0"/>
    <n v="1105.26"/>
  </r>
  <r>
    <s v="ORD201076"/>
    <x v="20"/>
    <x v="1068"/>
    <x v="5"/>
    <n v="4"/>
    <n v="686.61"/>
    <s v="176 Main St"/>
    <x v="4"/>
    <x v="0"/>
    <s v="TRK52711973"/>
    <n v="6"/>
    <s v="None"/>
    <x v="1"/>
    <n v="2746.44"/>
  </r>
  <r>
    <s v="ORD201077"/>
    <x v="456"/>
    <x v="1069"/>
    <x v="4"/>
    <n v="3"/>
    <n v="305.16000000000003"/>
    <s v="115 Main St"/>
    <x v="2"/>
    <x v="1"/>
    <s v="TRK47775217"/>
    <n v="8"/>
    <s v="SAVE10"/>
    <x v="1"/>
    <n v="915.48"/>
  </r>
  <r>
    <s v="ORD201078"/>
    <x v="168"/>
    <x v="1070"/>
    <x v="6"/>
    <n v="1"/>
    <n v="41.09"/>
    <s v="881 Main St"/>
    <x v="1"/>
    <x v="2"/>
    <s v="TRK90060232"/>
    <n v="4"/>
    <s v="WINTER15"/>
    <x v="2"/>
    <n v="41.09"/>
  </r>
  <r>
    <s v="ORD201079"/>
    <x v="643"/>
    <x v="1071"/>
    <x v="1"/>
    <n v="5"/>
    <n v="634"/>
    <s v="144 Main St"/>
    <x v="3"/>
    <x v="3"/>
    <s v="TRK99055909"/>
    <n v="8"/>
    <s v="None"/>
    <x v="2"/>
    <n v="3170"/>
  </r>
  <r>
    <s v="ORD201080"/>
    <x v="325"/>
    <x v="1072"/>
    <x v="5"/>
    <n v="5"/>
    <n v="464.74"/>
    <s v="438 Main St"/>
    <x v="3"/>
    <x v="3"/>
    <s v="TRK33140293"/>
    <n v="7"/>
    <s v="None"/>
    <x v="1"/>
    <n v="2323.6999999999998"/>
  </r>
  <r>
    <s v="ORD201081"/>
    <x v="453"/>
    <x v="1073"/>
    <x v="0"/>
    <n v="4"/>
    <n v="425.6"/>
    <s v="494 Main St"/>
    <x v="2"/>
    <x v="4"/>
    <s v="TRK85897054"/>
    <n v="5"/>
    <s v="FREESHIP"/>
    <x v="4"/>
    <n v="1702.4"/>
  </r>
  <r>
    <s v="ORD201082"/>
    <x v="426"/>
    <x v="1074"/>
    <x v="3"/>
    <n v="3"/>
    <n v="573.22"/>
    <s v="177 Main St"/>
    <x v="0"/>
    <x v="4"/>
    <s v="TRK59779174"/>
    <n v="5"/>
    <s v="SAVE10"/>
    <x v="2"/>
    <n v="1719.66"/>
  </r>
  <r>
    <s v="ORD201083"/>
    <x v="644"/>
    <x v="1075"/>
    <x v="3"/>
    <n v="1"/>
    <n v="123.28"/>
    <s v="895 Main St"/>
    <x v="2"/>
    <x v="3"/>
    <s v="TRK98960285"/>
    <n v="3"/>
    <s v="SAVE10"/>
    <x v="2"/>
    <n v="123.28"/>
  </r>
  <r>
    <s v="ORD201084"/>
    <x v="124"/>
    <x v="1076"/>
    <x v="1"/>
    <n v="1"/>
    <n v="70.819999999999993"/>
    <s v="128 Main St"/>
    <x v="3"/>
    <x v="4"/>
    <s v="TRK41792296"/>
    <n v="1"/>
    <s v="WINTER15"/>
    <x v="0"/>
    <n v="70.819999999999993"/>
  </r>
  <r>
    <s v="ORD201085"/>
    <x v="54"/>
    <x v="1077"/>
    <x v="4"/>
    <n v="2"/>
    <n v="646.69000000000005"/>
    <s v="404 Main St"/>
    <x v="0"/>
    <x v="0"/>
    <s v="TRK91426444"/>
    <n v="7"/>
    <s v="WINTER15"/>
    <x v="0"/>
    <n v="1293.3800000000001"/>
  </r>
  <r>
    <s v="ORD201086"/>
    <x v="475"/>
    <x v="1078"/>
    <x v="2"/>
    <n v="2"/>
    <n v="513.41999999999996"/>
    <s v="401 Main St"/>
    <x v="1"/>
    <x v="4"/>
    <s v="TRK91439791"/>
    <n v="5"/>
    <s v="WINTER15"/>
    <x v="0"/>
    <n v="1026.8399999999999"/>
  </r>
  <r>
    <s v="ORD201087"/>
    <x v="411"/>
    <x v="1079"/>
    <x v="5"/>
    <n v="4"/>
    <n v="693.07"/>
    <s v="530 Main St"/>
    <x v="1"/>
    <x v="0"/>
    <s v="TRK48659380"/>
    <n v="8"/>
    <s v="SAVE10"/>
    <x v="0"/>
    <n v="2772.28"/>
  </r>
  <r>
    <s v="ORD201088"/>
    <x v="115"/>
    <x v="1080"/>
    <x v="6"/>
    <n v="3"/>
    <n v="491.43"/>
    <s v="213 Main St"/>
    <x v="3"/>
    <x v="0"/>
    <s v="TRK21232601"/>
    <n v="6"/>
    <s v="WINTER15"/>
    <x v="0"/>
    <n v="1474.29"/>
  </r>
  <r>
    <s v="ORD201089"/>
    <x v="175"/>
    <x v="1081"/>
    <x v="2"/>
    <n v="2"/>
    <n v="599.74"/>
    <s v="440 Main St"/>
    <x v="3"/>
    <x v="0"/>
    <s v="TRK66967997"/>
    <n v="2"/>
    <s v="None"/>
    <x v="0"/>
    <n v="1199.48"/>
  </r>
  <r>
    <s v="ORD201090"/>
    <x v="641"/>
    <x v="1082"/>
    <x v="0"/>
    <n v="2"/>
    <n v="650.25"/>
    <s v="996 Main St"/>
    <x v="3"/>
    <x v="2"/>
    <s v="TRK37022954"/>
    <n v="6"/>
    <s v="None"/>
    <x v="0"/>
    <n v="1300.5"/>
  </r>
  <r>
    <s v="ORD201091"/>
    <x v="192"/>
    <x v="1083"/>
    <x v="5"/>
    <n v="3"/>
    <n v="209.48"/>
    <s v="123 Main St"/>
    <x v="0"/>
    <x v="4"/>
    <s v="TRK57771859"/>
    <n v="4"/>
    <s v="None"/>
    <x v="2"/>
    <n v="628.43999999999994"/>
  </r>
  <r>
    <s v="ORD201092"/>
    <x v="531"/>
    <x v="1084"/>
    <x v="5"/>
    <n v="5"/>
    <n v="209.2"/>
    <s v="930 Main St"/>
    <x v="0"/>
    <x v="3"/>
    <s v="TRK47744396"/>
    <n v="6"/>
    <s v="WINTER15"/>
    <x v="2"/>
    <n v="1046"/>
  </r>
  <r>
    <s v="ORD201093"/>
    <x v="308"/>
    <x v="1085"/>
    <x v="1"/>
    <n v="4"/>
    <n v="197.36"/>
    <s v="557 Main St"/>
    <x v="3"/>
    <x v="2"/>
    <s v="TRK22612240"/>
    <n v="9"/>
    <s v="FREESHIP"/>
    <x v="0"/>
    <n v="789.44"/>
  </r>
  <r>
    <s v="ORD201094"/>
    <x v="342"/>
    <x v="1086"/>
    <x v="4"/>
    <n v="4"/>
    <n v="648.91"/>
    <s v="615 Main St"/>
    <x v="2"/>
    <x v="0"/>
    <s v="TRK54950785"/>
    <n v="6"/>
    <s v="SAVE10"/>
    <x v="0"/>
    <n v="2595.64"/>
  </r>
  <r>
    <s v="ORD201095"/>
    <x v="234"/>
    <x v="1087"/>
    <x v="1"/>
    <n v="2"/>
    <n v="441.54"/>
    <s v="397 Main St"/>
    <x v="1"/>
    <x v="3"/>
    <s v="TRK92929755"/>
    <n v="2"/>
    <s v="SAVE10"/>
    <x v="2"/>
    <n v="883.08"/>
  </r>
  <r>
    <s v="ORD201096"/>
    <x v="120"/>
    <x v="1088"/>
    <x v="2"/>
    <n v="2"/>
    <n v="464.92"/>
    <s v="782 Main St"/>
    <x v="0"/>
    <x v="2"/>
    <s v="TRK49482923"/>
    <n v="2"/>
    <s v="None"/>
    <x v="3"/>
    <n v="929.84"/>
  </r>
  <r>
    <s v="ORD201097"/>
    <x v="645"/>
    <x v="1089"/>
    <x v="0"/>
    <n v="5"/>
    <n v="506.45"/>
    <s v="344 Main St"/>
    <x v="3"/>
    <x v="0"/>
    <s v="TRK99682998"/>
    <n v="7"/>
    <s v="WINTER15"/>
    <x v="4"/>
    <n v="2532.25"/>
  </r>
  <r>
    <s v="ORD201098"/>
    <x v="646"/>
    <x v="1090"/>
    <x v="0"/>
    <n v="4"/>
    <n v="255.86"/>
    <s v="155 Main St"/>
    <x v="2"/>
    <x v="3"/>
    <s v="TRK91653000"/>
    <n v="7"/>
    <s v="None"/>
    <x v="2"/>
    <n v="1023.44"/>
  </r>
  <r>
    <s v="ORD201099"/>
    <x v="556"/>
    <x v="1091"/>
    <x v="5"/>
    <n v="2"/>
    <n v="125.23"/>
    <s v="272 Main St"/>
    <x v="4"/>
    <x v="1"/>
    <s v="TRK60774796"/>
    <n v="3"/>
    <s v="FREESHIP"/>
    <x v="2"/>
    <n v="250.46"/>
  </r>
  <r>
    <s v="ORD201100"/>
    <x v="538"/>
    <x v="1092"/>
    <x v="5"/>
    <n v="5"/>
    <n v="38.11"/>
    <s v="428 Main St"/>
    <x v="0"/>
    <x v="1"/>
    <s v="TRK79790530"/>
    <n v="6"/>
    <s v="WINTER15"/>
    <x v="0"/>
    <n v="190.55"/>
  </r>
  <r>
    <s v="ORD201101"/>
    <x v="647"/>
    <x v="1093"/>
    <x v="0"/>
    <n v="3"/>
    <n v="161.97"/>
    <s v="904 Main St"/>
    <x v="4"/>
    <x v="4"/>
    <s v="TRK85871121"/>
    <n v="4"/>
    <s v="SAVE10"/>
    <x v="2"/>
    <n v="485.90999999999997"/>
  </r>
  <r>
    <s v="ORD201102"/>
    <x v="561"/>
    <x v="14"/>
    <x v="3"/>
    <n v="4"/>
    <n v="347.17"/>
    <s v="997 Main St"/>
    <x v="0"/>
    <x v="0"/>
    <s v="TRK86192984"/>
    <n v="8"/>
    <s v="None"/>
    <x v="0"/>
    <n v="1388.68"/>
  </r>
  <r>
    <s v="ORD201103"/>
    <x v="648"/>
    <x v="1094"/>
    <x v="5"/>
    <n v="4"/>
    <n v="276.32"/>
    <s v="129 Main St"/>
    <x v="1"/>
    <x v="3"/>
    <s v="TRK26270357"/>
    <n v="5"/>
    <s v="None"/>
    <x v="4"/>
    <n v="1105.28"/>
  </r>
  <r>
    <s v="ORD201104"/>
    <x v="568"/>
    <x v="1095"/>
    <x v="2"/>
    <n v="4"/>
    <n v="314.76"/>
    <s v="850 Main St"/>
    <x v="1"/>
    <x v="0"/>
    <s v="TRK63547510"/>
    <n v="8"/>
    <s v="None"/>
    <x v="0"/>
    <n v="1259.04"/>
  </r>
  <r>
    <s v="ORD201105"/>
    <x v="649"/>
    <x v="1096"/>
    <x v="2"/>
    <n v="3"/>
    <n v="475.69"/>
    <s v="884 Main St"/>
    <x v="3"/>
    <x v="1"/>
    <s v="TRK23324770"/>
    <n v="3"/>
    <s v="FREESHIP"/>
    <x v="4"/>
    <n v="1427.07"/>
  </r>
  <r>
    <s v="ORD201106"/>
    <x v="255"/>
    <x v="1097"/>
    <x v="3"/>
    <n v="1"/>
    <n v="372.8"/>
    <s v="903 Main St"/>
    <x v="4"/>
    <x v="1"/>
    <s v="TRK72859458"/>
    <n v="6"/>
    <s v="SAVE10"/>
    <x v="3"/>
    <n v="372.8"/>
  </r>
  <r>
    <s v="ORD201107"/>
    <x v="233"/>
    <x v="1098"/>
    <x v="2"/>
    <n v="2"/>
    <n v="63.21"/>
    <s v="282 Main St"/>
    <x v="1"/>
    <x v="1"/>
    <s v="TRK80963328"/>
    <n v="4"/>
    <s v="SAVE10"/>
    <x v="4"/>
    <n v="126.42"/>
  </r>
  <r>
    <s v="ORD201108"/>
    <x v="650"/>
    <x v="1099"/>
    <x v="5"/>
    <n v="1"/>
    <n v="634.94000000000005"/>
    <s v="462 Main St"/>
    <x v="1"/>
    <x v="1"/>
    <s v="TRK49753703"/>
    <n v="5"/>
    <s v="WINTER15"/>
    <x v="0"/>
    <n v="634.94000000000005"/>
  </r>
  <r>
    <s v="ORD201109"/>
    <x v="651"/>
    <x v="1100"/>
    <x v="4"/>
    <n v="4"/>
    <n v="77.47"/>
    <s v="474 Main St"/>
    <x v="3"/>
    <x v="2"/>
    <s v="TRK32026174"/>
    <n v="7"/>
    <s v="SAVE10"/>
    <x v="0"/>
    <n v="309.88"/>
  </r>
  <r>
    <s v="ORD201110"/>
    <x v="402"/>
    <x v="1101"/>
    <x v="3"/>
    <n v="3"/>
    <n v="84.31"/>
    <s v="912 Main St"/>
    <x v="2"/>
    <x v="0"/>
    <s v="TRK36103184"/>
    <n v="3"/>
    <s v="SAVE10"/>
    <x v="2"/>
    <n v="252.93"/>
  </r>
  <r>
    <s v="ORD201111"/>
    <x v="306"/>
    <x v="1102"/>
    <x v="0"/>
    <n v="4"/>
    <n v="234.45"/>
    <s v="362 Main St"/>
    <x v="1"/>
    <x v="1"/>
    <s v="TRK91338580"/>
    <n v="9"/>
    <s v="FREESHIP"/>
    <x v="0"/>
    <n v="937.8"/>
  </r>
  <r>
    <s v="ORD201112"/>
    <x v="652"/>
    <x v="1103"/>
    <x v="6"/>
    <n v="1"/>
    <n v="356.81"/>
    <s v="563 Main St"/>
    <x v="1"/>
    <x v="3"/>
    <s v="TRK80694400"/>
    <n v="1"/>
    <s v="WINTER15"/>
    <x v="0"/>
    <n v="356.81"/>
  </r>
  <r>
    <s v="ORD201113"/>
    <x v="111"/>
    <x v="1104"/>
    <x v="6"/>
    <n v="4"/>
    <n v="209.99"/>
    <s v="168 Main St"/>
    <x v="4"/>
    <x v="3"/>
    <s v="TRK80819053"/>
    <n v="8"/>
    <s v="None"/>
    <x v="4"/>
    <n v="839.96"/>
  </r>
  <r>
    <s v="ORD201114"/>
    <x v="653"/>
    <x v="1105"/>
    <x v="2"/>
    <n v="3"/>
    <n v="659.88"/>
    <s v="609 Main St"/>
    <x v="3"/>
    <x v="1"/>
    <s v="TRK79610967"/>
    <n v="3"/>
    <s v="None"/>
    <x v="4"/>
    <n v="1979.6399999999999"/>
  </r>
  <r>
    <s v="ORD201115"/>
    <x v="126"/>
    <x v="1106"/>
    <x v="5"/>
    <n v="2"/>
    <n v="336.32"/>
    <s v="562 Main St"/>
    <x v="1"/>
    <x v="2"/>
    <s v="TRK89687816"/>
    <n v="3"/>
    <s v="None"/>
    <x v="4"/>
    <n v="672.64"/>
  </r>
  <r>
    <s v="ORD201116"/>
    <x v="612"/>
    <x v="1107"/>
    <x v="4"/>
    <n v="2"/>
    <n v="531.49"/>
    <s v="562 Main St"/>
    <x v="2"/>
    <x v="3"/>
    <s v="TRK61265132"/>
    <n v="7"/>
    <s v="WINTER15"/>
    <x v="3"/>
    <n v="1062.98"/>
  </r>
  <r>
    <s v="ORD201117"/>
    <x v="199"/>
    <x v="1108"/>
    <x v="3"/>
    <n v="3"/>
    <n v="588.44000000000005"/>
    <s v="858 Main St"/>
    <x v="3"/>
    <x v="0"/>
    <s v="TRK95779073"/>
    <n v="8"/>
    <s v="WINTER15"/>
    <x v="4"/>
    <n v="1765.3200000000002"/>
  </r>
  <r>
    <s v="ORD201118"/>
    <x v="75"/>
    <x v="1109"/>
    <x v="1"/>
    <n v="3"/>
    <n v="251.48"/>
    <s v="359 Main St"/>
    <x v="2"/>
    <x v="2"/>
    <s v="TRK99102265"/>
    <n v="4"/>
    <s v="None"/>
    <x v="2"/>
    <n v="754.43999999999994"/>
  </r>
  <r>
    <s v="ORD201119"/>
    <x v="167"/>
    <x v="1110"/>
    <x v="5"/>
    <n v="1"/>
    <n v="684.65"/>
    <s v="250 Main St"/>
    <x v="2"/>
    <x v="3"/>
    <s v="TRK24675988"/>
    <n v="1"/>
    <s v="FREESHIP"/>
    <x v="2"/>
    <n v="684.65"/>
  </r>
  <r>
    <s v="ORD201120"/>
    <x v="400"/>
    <x v="1111"/>
    <x v="2"/>
    <n v="1"/>
    <n v="195.86"/>
    <s v="267 Main St"/>
    <x v="1"/>
    <x v="4"/>
    <s v="TRK82416295"/>
    <n v="3"/>
    <s v="None"/>
    <x v="3"/>
    <n v="195.86"/>
  </r>
  <r>
    <s v="ORD201121"/>
    <x v="654"/>
    <x v="1112"/>
    <x v="1"/>
    <n v="3"/>
    <n v="50.34"/>
    <s v="393 Main St"/>
    <x v="3"/>
    <x v="2"/>
    <s v="TRK43070888"/>
    <n v="3"/>
    <s v="FREESHIP"/>
    <x v="0"/>
    <n v="151.02000000000001"/>
  </r>
  <r>
    <s v="ORD201122"/>
    <x v="323"/>
    <x v="266"/>
    <x v="0"/>
    <n v="5"/>
    <n v="678.19"/>
    <s v="766 Main St"/>
    <x v="1"/>
    <x v="2"/>
    <s v="TRK32496970"/>
    <n v="8"/>
    <s v="None"/>
    <x v="3"/>
    <n v="3390.9500000000003"/>
  </r>
  <r>
    <s v="ORD201123"/>
    <x v="655"/>
    <x v="1113"/>
    <x v="2"/>
    <n v="3"/>
    <n v="554.25"/>
    <s v="843 Main St"/>
    <x v="0"/>
    <x v="0"/>
    <s v="TRK73163634"/>
    <n v="6"/>
    <s v="WINTER15"/>
    <x v="1"/>
    <n v="1662.75"/>
  </r>
  <r>
    <s v="ORD201124"/>
    <x v="221"/>
    <x v="1114"/>
    <x v="3"/>
    <n v="4"/>
    <n v="576.87"/>
    <s v="888 Main St"/>
    <x v="3"/>
    <x v="2"/>
    <s v="TRK40245983"/>
    <n v="5"/>
    <s v="None"/>
    <x v="0"/>
    <n v="2307.48"/>
  </r>
  <r>
    <s v="ORD201125"/>
    <x v="504"/>
    <x v="1115"/>
    <x v="6"/>
    <n v="4"/>
    <n v="408.36"/>
    <s v="156 Main St"/>
    <x v="3"/>
    <x v="1"/>
    <s v="TRK67210247"/>
    <n v="4"/>
    <s v="FREESHIP"/>
    <x v="1"/>
    <n v="1633.44"/>
  </r>
  <r>
    <s v="ORD201126"/>
    <x v="319"/>
    <x v="1116"/>
    <x v="1"/>
    <n v="5"/>
    <n v="190.11"/>
    <s v="325 Main St"/>
    <x v="4"/>
    <x v="3"/>
    <s v="TRK36195559"/>
    <n v="7"/>
    <s v="SAVE10"/>
    <x v="4"/>
    <n v="950.55000000000007"/>
  </r>
  <r>
    <s v="ORD201127"/>
    <x v="175"/>
    <x v="1117"/>
    <x v="4"/>
    <n v="3"/>
    <n v="602.75"/>
    <s v="920 Main St"/>
    <x v="2"/>
    <x v="0"/>
    <s v="TRK33155049"/>
    <n v="6"/>
    <s v="SAVE10"/>
    <x v="2"/>
    <n v="1808.25"/>
  </r>
  <r>
    <s v="ORD201128"/>
    <x v="538"/>
    <x v="1118"/>
    <x v="0"/>
    <n v="3"/>
    <n v="646.79"/>
    <s v="447 Main St"/>
    <x v="4"/>
    <x v="1"/>
    <s v="TRK10883354"/>
    <n v="5"/>
    <s v="WINTER15"/>
    <x v="4"/>
    <n v="1940.37"/>
  </r>
  <r>
    <s v="ORD201129"/>
    <x v="236"/>
    <x v="1119"/>
    <x v="3"/>
    <n v="4"/>
    <n v="418.71"/>
    <s v="239 Main St"/>
    <x v="4"/>
    <x v="4"/>
    <s v="TRK37495481"/>
    <n v="8"/>
    <s v="FREESHIP"/>
    <x v="0"/>
    <n v="1674.84"/>
  </r>
  <r>
    <s v="ORD201130"/>
    <x v="656"/>
    <x v="1120"/>
    <x v="5"/>
    <n v="2"/>
    <n v="323.45"/>
    <s v="533 Main St"/>
    <x v="2"/>
    <x v="2"/>
    <s v="TRK27233265"/>
    <n v="5"/>
    <s v="FREESHIP"/>
    <x v="0"/>
    <n v="646.9"/>
  </r>
  <r>
    <s v="ORD201131"/>
    <x v="408"/>
    <x v="1121"/>
    <x v="1"/>
    <n v="1"/>
    <n v="694.5"/>
    <s v="195 Main St"/>
    <x v="2"/>
    <x v="4"/>
    <s v="TRK41691086"/>
    <n v="3"/>
    <s v="WINTER15"/>
    <x v="3"/>
    <n v="694.5"/>
  </r>
  <r>
    <s v="ORD201132"/>
    <x v="657"/>
    <x v="1122"/>
    <x v="3"/>
    <n v="2"/>
    <n v="337.32"/>
    <s v="948 Main St"/>
    <x v="2"/>
    <x v="1"/>
    <s v="TRK30406357"/>
    <n v="4"/>
    <s v="SAVE10"/>
    <x v="2"/>
    <n v="674.64"/>
  </r>
  <r>
    <s v="ORD201133"/>
    <x v="398"/>
    <x v="1123"/>
    <x v="4"/>
    <n v="2"/>
    <n v="467.91"/>
    <s v="432 Main St"/>
    <x v="3"/>
    <x v="2"/>
    <s v="TRK76731303"/>
    <n v="5"/>
    <s v="WINTER15"/>
    <x v="3"/>
    <n v="935.82"/>
  </r>
  <r>
    <s v="ORD201134"/>
    <x v="180"/>
    <x v="1124"/>
    <x v="6"/>
    <n v="4"/>
    <n v="38.28"/>
    <s v="950 Main St"/>
    <x v="0"/>
    <x v="1"/>
    <s v="TRK53964711"/>
    <n v="4"/>
    <s v="WINTER15"/>
    <x v="3"/>
    <n v="153.12"/>
  </r>
  <r>
    <s v="ORD201135"/>
    <x v="153"/>
    <x v="1125"/>
    <x v="4"/>
    <n v="2"/>
    <n v="73.41"/>
    <s v="562 Main St"/>
    <x v="1"/>
    <x v="0"/>
    <s v="TRK97793275"/>
    <n v="2"/>
    <s v="SAVE10"/>
    <x v="4"/>
    <n v="146.82"/>
  </r>
  <r>
    <s v="ORD201136"/>
    <x v="463"/>
    <x v="1126"/>
    <x v="2"/>
    <n v="3"/>
    <n v="668.33"/>
    <s v="799 Main St"/>
    <x v="3"/>
    <x v="4"/>
    <s v="TRK34856025"/>
    <n v="4"/>
    <s v="WINTER15"/>
    <x v="3"/>
    <n v="2004.9900000000002"/>
  </r>
  <r>
    <s v="ORD201137"/>
    <x v="511"/>
    <x v="1127"/>
    <x v="4"/>
    <n v="4"/>
    <n v="410.21"/>
    <s v="841 Main St"/>
    <x v="4"/>
    <x v="4"/>
    <s v="TRK59911645"/>
    <n v="5"/>
    <s v="WINTER15"/>
    <x v="0"/>
    <n v="1640.84"/>
  </r>
  <r>
    <s v="ORD201138"/>
    <x v="552"/>
    <x v="1128"/>
    <x v="6"/>
    <n v="4"/>
    <n v="294.41000000000003"/>
    <s v="188 Main St"/>
    <x v="0"/>
    <x v="4"/>
    <s v="TRK55565668"/>
    <n v="4"/>
    <s v="None"/>
    <x v="0"/>
    <n v="1177.6400000000001"/>
  </r>
  <r>
    <s v="ORD201139"/>
    <x v="627"/>
    <x v="1042"/>
    <x v="3"/>
    <n v="3"/>
    <n v="501.82"/>
    <s v="568 Main St"/>
    <x v="3"/>
    <x v="1"/>
    <s v="TRK28290825"/>
    <n v="4"/>
    <s v="FREESHIP"/>
    <x v="2"/>
    <n v="1505.46"/>
  </r>
  <r>
    <s v="ORD201140"/>
    <x v="658"/>
    <x v="1129"/>
    <x v="4"/>
    <n v="2"/>
    <n v="552.83000000000004"/>
    <s v="904 Main St"/>
    <x v="2"/>
    <x v="1"/>
    <s v="TRK38297718"/>
    <n v="3"/>
    <s v="None"/>
    <x v="1"/>
    <n v="1105.6600000000001"/>
  </r>
  <r>
    <s v="ORD201141"/>
    <x v="656"/>
    <x v="1130"/>
    <x v="3"/>
    <n v="3"/>
    <n v="498.66"/>
    <s v="382 Main St"/>
    <x v="4"/>
    <x v="1"/>
    <s v="TRK26707221"/>
    <n v="6"/>
    <s v="None"/>
    <x v="2"/>
    <n v="1495.98"/>
  </r>
  <r>
    <s v="ORD201142"/>
    <x v="1"/>
    <x v="1131"/>
    <x v="1"/>
    <n v="4"/>
    <n v="695.1"/>
    <s v="484 Main St"/>
    <x v="0"/>
    <x v="2"/>
    <s v="TRK83678708"/>
    <n v="8"/>
    <s v="None"/>
    <x v="2"/>
    <n v="2780.4"/>
  </r>
  <r>
    <s v="ORD201143"/>
    <x v="659"/>
    <x v="1132"/>
    <x v="3"/>
    <n v="1"/>
    <n v="381.61"/>
    <s v="114 Main St"/>
    <x v="0"/>
    <x v="4"/>
    <s v="TRK51040137"/>
    <n v="5"/>
    <s v="None"/>
    <x v="2"/>
    <n v="381.61"/>
  </r>
  <r>
    <s v="ORD201144"/>
    <x v="223"/>
    <x v="1133"/>
    <x v="6"/>
    <n v="5"/>
    <n v="507.94"/>
    <s v="292 Main St"/>
    <x v="1"/>
    <x v="1"/>
    <s v="TRK88749996"/>
    <n v="9"/>
    <s v="None"/>
    <x v="3"/>
    <n v="2539.6999999999998"/>
  </r>
  <r>
    <s v="ORD201145"/>
    <x v="275"/>
    <x v="1134"/>
    <x v="6"/>
    <n v="3"/>
    <n v="571.53"/>
    <s v="821 Main St"/>
    <x v="0"/>
    <x v="3"/>
    <s v="TRK59642814"/>
    <n v="6"/>
    <s v="FREESHIP"/>
    <x v="3"/>
    <n v="1714.59"/>
  </r>
  <r>
    <s v="ORD201146"/>
    <x v="525"/>
    <x v="1135"/>
    <x v="0"/>
    <n v="5"/>
    <n v="421.44"/>
    <s v="286 Main St"/>
    <x v="4"/>
    <x v="4"/>
    <s v="TRK93336357"/>
    <n v="5"/>
    <s v="SAVE10"/>
    <x v="0"/>
    <n v="2107.1999999999998"/>
  </r>
  <r>
    <s v="ORD201147"/>
    <x v="143"/>
    <x v="1136"/>
    <x v="3"/>
    <n v="2"/>
    <n v="588.29999999999995"/>
    <s v="234 Main St"/>
    <x v="1"/>
    <x v="4"/>
    <s v="TRK22515454"/>
    <n v="2"/>
    <s v="FREESHIP"/>
    <x v="2"/>
    <n v="1176.5999999999999"/>
  </r>
  <r>
    <s v="ORD201148"/>
    <x v="611"/>
    <x v="1137"/>
    <x v="1"/>
    <n v="1"/>
    <n v="355.15"/>
    <s v="442 Main St"/>
    <x v="4"/>
    <x v="2"/>
    <s v="TRK66241930"/>
    <n v="2"/>
    <s v="SAVE10"/>
    <x v="2"/>
    <n v="355.15"/>
  </r>
  <r>
    <s v="ORD201149"/>
    <x v="568"/>
    <x v="1138"/>
    <x v="3"/>
    <n v="2"/>
    <n v="695.29"/>
    <s v="957 Main St"/>
    <x v="2"/>
    <x v="4"/>
    <s v="TRK28789916"/>
    <n v="6"/>
    <s v="FREESHIP"/>
    <x v="0"/>
    <n v="1390.58"/>
  </r>
  <r>
    <s v="ORD201150"/>
    <x v="215"/>
    <x v="1139"/>
    <x v="6"/>
    <n v="4"/>
    <n v="302.64999999999998"/>
    <s v="119 Main St"/>
    <x v="2"/>
    <x v="1"/>
    <s v="TRK79291524"/>
    <n v="8"/>
    <s v="SAVE10"/>
    <x v="1"/>
    <n v="1210.5999999999999"/>
  </r>
  <r>
    <s v="ORD201151"/>
    <x v="22"/>
    <x v="1140"/>
    <x v="3"/>
    <n v="2"/>
    <n v="608.04"/>
    <s v="962 Main St"/>
    <x v="4"/>
    <x v="1"/>
    <s v="TRK69804304"/>
    <n v="4"/>
    <s v="None"/>
    <x v="4"/>
    <n v="1216.08"/>
  </r>
  <r>
    <s v="ORD201152"/>
    <x v="576"/>
    <x v="1141"/>
    <x v="2"/>
    <n v="2"/>
    <n v="344.18"/>
    <s v="533 Main St"/>
    <x v="2"/>
    <x v="0"/>
    <s v="TRK42183078"/>
    <n v="7"/>
    <s v="None"/>
    <x v="1"/>
    <n v="688.36"/>
  </r>
  <r>
    <s v="ORD201153"/>
    <x v="393"/>
    <x v="1142"/>
    <x v="0"/>
    <n v="4"/>
    <n v="696.71"/>
    <s v="276 Main St"/>
    <x v="0"/>
    <x v="0"/>
    <s v="TRK37172138"/>
    <n v="4"/>
    <s v="None"/>
    <x v="0"/>
    <n v="2786.84"/>
  </r>
  <r>
    <s v="ORD201154"/>
    <x v="113"/>
    <x v="1143"/>
    <x v="0"/>
    <n v="3"/>
    <n v="198.63"/>
    <s v="593 Main St"/>
    <x v="4"/>
    <x v="4"/>
    <s v="TRK67589167"/>
    <n v="8"/>
    <s v="SAVE10"/>
    <x v="0"/>
    <n v="595.89"/>
  </r>
  <r>
    <s v="ORD201155"/>
    <x v="340"/>
    <x v="1144"/>
    <x v="4"/>
    <n v="4"/>
    <n v="534.57000000000005"/>
    <s v="667 Main St"/>
    <x v="2"/>
    <x v="3"/>
    <s v="TRK62068126"/>
    <n v="6"/>
    <s v="FREESHIP"/>
    <x v="3"/>
    <n v="2138.2800000000002"/>
  </r>
  <r>
    <s v="ORD201156"/>
    <x v="45"/>
    <x v="1145"/>
    <x v="5"/>
    <n v="4"/>
    <n v="690.78"/>
    <s v="980 Main St"/>
    <x v="2"/>
    <x v="0"/>
    <s v="TRK98234737"/>
    <n v="9"/>
    <s v="None"/>
    <x v="1"/>
    <n v="2763.12"/>
  </r>
  <r>
    <s v="ORD201157"/>
    <x v="382"/>
    <x v="1146"/>
    <x v="0"/>
    <n v="3"/>
    <n v="301.55"/>
    <s v="242 Main St"/>
    <x v="0"/>
    <x v="3"/>
    <s v="TRK21451375"/>
    <n v="5"/>
    <s v="FREESHIP"/>
    <x v="4"/>
    <n v="904.65000000000009"/>
  </r>
  <r>
    <s v="ORD201158"/>
    <x v="197"/>
    <x v="1147"/>
    <x v="0"/>
    <n v="4"/>
    <n v="27.42"/>
    <s v="661 Main St"/>
    <x v="0"/>
    <x v="4"/>
    <s v="TRK20605418"/>
    <n v="4"/>
    <s v="SAVE10"/>
    <x v="1"/>
    <n v="109.68"/>
  </r>
  <r>
    <s v="ORD201159"/>
    <x v="203"/>
    <x v="1148"/>
    <x v="6"/>
    <n v="4"/>
    <n v="466.7"/>
    <s v="874 Main St"/>
    <x v="0"/>
    <x v="2"/>
    <s v="TRK60955607"/>
    <n v="8"/>
    <s v="None"/>
    <x v="0"/>
    <n v="1866.8"/>
  </r>
  <r>
    <s v="ORD201160"/>
    <x v="333"/>
    <x v="1149"/>
    <x v="6"/>
    <n v="1"/>
    <n v="541.64"/>
    <s v="449 Main St"/>
    <x v="0"/>
    <x v="0"/>
    <s v="TRK70255168"/>
    <n v="5"/>
    <s v="SAVE10"/>
    <x v="2"/>
    <n v="541.64"/>
  </r>
  <r>
    <s v="ORD201161"/>
    <x v="504"/>
    <x v="1150"/>
    <x v="1"/>
    <n v="1"/>
    <n v="11.39"/>
    <s v="826 Main St"/>
    <x v="4"/>
    <x v="1"/>
    <s v="TRK35969968"/>
    <n v="6"/>
    <s v="WINTER15"/>
    <x v="2"/>
    <n v="11.39"/>
  </r>
  <r>
    <s v="ORD201162"/>
    <x v="660"/>
    <x v="1151"/>
    <x v="1"/>
    <n v="2"/>
    <n v="224.37"/>
    <s v="251 Main St"/>
    <x v="0"/>
    <x v="3"/>
    <s v="TRK33125798"/>
    <n v="3"/>
    <s v="WINTER15"/>
    <x v="1"/>
    <n v="448.74"/>
  </r>
  <r>
    <s v="ORD201163"/>
    <x v="184"/>
    <x v="1152"/>
    <x v="5"/>
    <n v="3"/>
    <n v="306.29000000000002"/>
    <s v="966 Main St"/>
    <x v="2"/>
    <x v="2"/>
    <s v="TRK19477485"/>
    <n v="7"/>
    <s v="WINTER15"/>
    <x v="0"/>
    <n v="918.87000000000012"/>
  </r>
  <r>
    <s v="ORD201164"/>
    <x v="649"/>
    <x v="1153"/>
    <x v="2"/>
    <n v="5"/>
    <n v="315.57"/>
    <s v="340 Main St"/>
    <x v="0"/>
    <x v="3"/>
    <s v="TRK64530489"/>
    <n v="6"/>
    <s v="WINTER15"/>
    <x v="2"/>
    <n v="1577.85"/>
  </r>
  <r>
    <s v="ORD201165"/>
    <x v="328"/>
    <x v="1154"/>
    <x v="3"/>
    <n v="3"/>
    <n v="223.79"/>
    <s v="617 Main St"/>
    <x v="0"/>
    <x v="4"/>
    <s v="TRK63460217"/>
    <n v="3"/>
    <s v="None"/>
    <x v="4"/>
    <n v="671.37"/>
  </r>
  <r>
    <s v="ORD201166"/>
    <x v="48"/>
    <x v="1155"/>
    <x v="3"/>
    <n v="3"/>
    <n v="324.47000000000003"/>
    <s v="971 Main St"/>
    <x v="4"/>
    <x v="3"/>
    <s v="TRK37075292"/>
    <n v="4"/>
    <s v="WINTER15"/>
    <x v="2"/>
    <n v="973.41000000000008"/>
  </r>
  <r>
    <s v="ORD201167"/>
    <x v="661"/>
    <x v="1156"/>
    <x v="4"/>
    <n v="2"/>
    <n v="92.87"/>
    <s v="360 Main St"/>
    <x v="2"/>
    <x v="4"/>
    <s v="TRK31169396"/>
    <n v="5"/>
    <s v="FREESHIP"/>
    <x v="3"/>
    <n v="185.74"/>
  </r>
  <r>
    <s v="ORD201168"/>
    <x v="505"/>
    <x v="1157"/>
    <x v="5"/>
    <n v="2"/>
    <n v="331.42"/>
    <s v="297 Main St"/>
    <x v="2"/>
    <x v="3"/>
    <s v="TRK82838108"/>
    <n v="6"/>
    <s v="WINTER15"/>
    <x v="4"/>
    <n v="662.84"/>
  </r>
  <r>
    <s v="ORD201169"/>
    <x v="662"/>
    <x v="1158"/>
    <x v="3"/>
    <n v="1"/>
    <n v="525.42999999999995"/>
    <s v="643 Main St"/>
    <x v="4"/>
    <x v="1"/>
    <s v="TRK26794546"/>
    <n v="2"/>
    <s v="SAVE10"/>
    <x v="0"/>
    <n v="525.42999999999995"/>
  </r>
  <r>
    <s v="ORD201170"/>
    <x v="567"/>
    <x v="1159"/>
    <x v="4"/>
    <n v="2"/>
    <n v="697.19"/>
    <s v="762 Main St"/>
    <x v="4"/>
    <x v="2"/>
    <s v="TRK40220743"/>
    <n v="7"/>
    <s v="FREESHIP"/>
    <x v="2"/>
    <n v="1394.38"/>
  </r>
  <r>
    <s v="ORD201171"/>
    <x v="81"/>
    <x v="1160"/>
    <x v="1"/>
    <n v="4"/>
    <n v="518.4"/>
    <s v="699 Main St"/>
    <x v="2"/>
    <x v="3"/>
    <s v="TRK80431998"/>
    <n v="7"/>
    <s v="SAVE10"/>
    <x v="3"/>
    <n v="2073.6"/>
  </r>
  <r>
    <s v="ORD201172"/>
    <x v="496"/>
    <x v="1161"/>
    <x v="6"/>
    <n v="3"/>
    <n v="131.96"/>
    <s v="745 Main St"/>
    <x v="2"/>
    <x v="4"/>
    <s v="TRK32550359"/>
    <n v="8"/>
    <s v="None"/>
    <x v="0"/>
    <n v="395.88"/>
  </r>
  <r>
    <s v="ORD201173"/>
    <x v="449"/>
    <x v="1162"/>
    <x v="0"/>
    <n v="1"/>
    <n v="208.36"/>
    <s v="703 Main St"/>
    <x v="1"/>
    <x v="0"/>
    <s v="TRK31079911"/>
    <n v="4"/>
    <s v="FREESHIP"/>
    <x v="2"/>
    <n v="208.36"/>
  </r>
  <r>
    <s v="ORD201174"/>
    <x v="110"/>
    <x v="1163"/>
    <x v="4"/>
    <n v="3"/>
    <n v="222.34"/>
    <s v="105 Main St"/>
    <x v="2"/>
    <x v="2"/>
    <s v="TRK53737452"/>
    <n v="5"/>
    <s v="WINTER15"/>
    <x v="2"/>
    <n v="667.02"/>
  </r>
  <r>
    <s v="ORD201175"/>
    <x v="663"/>
    <x v="1164"/>
    <x v="4"/>
    <n v="3"/>
    <n v="91.74"/>
    <s v="368 Main St"/>
    <x v="0"/>
    <x v="2"/>
    <s v="TRK24139954"/>
    <n v="8"/>
    <s v="FREESHIP"/>
    <x v="1"/>
    <n v="275.21999999999997"/>
  </r>
  <r>
    <s v="ORD201176"/>
    <x v="340"/>
    <x v="1165"/>
    <x v="2"/>
    <n v="2"/>
    <n v="213.83"/>
    <s v="374 Main St"/>
    <x v="0"/>
    <x v="1"/>
    <s v="TRK55587314"/>
    <n v="2"/>
    <s v="WINTER15"/>
    <x v="2"/>
    <n v="427.66"/>
  </r>
  <r>
    <s v="ORD201177"/>
    <x v="664"/>
    <x v="1166"/>
    <x v="4"/>
    <n v="1"/>
    <n v="127.55"/>
    <s v="433 Main St"/>
    <x v="4"/>
    <x v="0"/>
    <s v="TRK44434536"/>
    <n v="3"/>
    <s v="SAVE10"/>
    <x v="1"/>
    <n v="127.55"/>
  </r>
  <r>
    <s v="ORD201178"/>
    <x v="50"/>
    <x v="1167"/>
    <x v="0"/>
    <n v="1"/>
    <n v="70.239999999999995"/>
    <s v="456 Main St"/>
    <x v="2"/>
    <x v="1"/>
    <s v="TRK10261578"/>
    <n v="4"/>
    <s v="FREESHIP"/>
    <x v="4"/>
    <n v="70.239999999999995"/>
  </r>
  <r>
    <s v="ORD201179"/>
    <x v="124"/>
    <x v="1168"/>
    <x v="5"/>
    <n v="5"/>
    <n v="518.54999999999995"/>
    <s v="907 Main St"/>
    <x v="2"/>
    <x v="1"/>
    <s v="TRK48054997"/>
    <n v="6"/>
    <s v="WINTER15"/>
    <x v="0"/>
    <n v="2592.75"/>
  </r>
  <r>
    <s v="ORD201180"/>
    <x v="150"/>
    <x v="1169"/>
    <x v="3"/>
    <n v="4"/>
    <n v="298.36"/>
    <s v="722 Main St"/>
    <x v="0"/>
    <x v="4"/>
    <s v="TRK49379882"/>
    <n v="8"/>
    <s v="FREESHIP"/>
    <x v="4"/>
    <n v="1193.44"/>
  </r>
  <r>
    <s v="ORD201181"/>
    <x v="152"/>
    <x v="1170"/>
    <x v="6"/>
    <n v="3"/>
    <n v="158.74"/>
    <s v="293 Main St"/>
    <x v="1"/>
    <x v="4"/>
    <s v="TRK45708320"/>
    <n v="7"/>
    <s v="FREESHIP"/>
    <x v="0"/>
    <n v="476.22"/>
  </r>
  <r>
    <s v="ORD201182"/>
    <x v="554"/>
    <x v="1171"/>
    <x v="3"/>
    <n v="2"/>
    <n v="420.29"/>
    <s v="700 Main St"/>
    <x v="3"/>
    <x v="2"/>
    <s v="TRK97834202"/>
    <n v="3"/>
    <s v="SAVE10"/>
    <x v="4"/>
    <n v="840.58"/>
  </r>
  <r>
    <s v="ORD201183"/>
    <x v="228"/>
    <x v="1172"/>
    <x v="6"/>
    <n v="1"/>
    <n v="281.52"/>
    <s v="460 Main St"/>
    <x v="3"/>
    <x v="0"/>
    <s v="TRK83653396"/>
    <n v="6"/>
    <s v="WINTER15"/>
    <x v="1"/>
    <n v="281.52"/>
  </r>
  <r>
    <s v="ORD201184"/>
    <x v="610"/>
    <x v="1173"/>
    <x v="5"/>
    <n v="1"/>
    <n v="204.08"/>
    <s v="979 Main St"/>
    <x v="3"/>
    <x v="2"/>
    <s v="TRK86297895"/>
    <n v="4"/>
    <s v="None"/>
    <x v="4"/>
    <n v="204.08"/>
  </r>
  <r>
    <s v="ORD201185"/>
    <x v="665"/>
    <x v="1174"/>
    <x v="3"/>
    <n v="1"/>
    <n v="343.31"/>
    <s v="777 Main St"/>
    <x v="3"/>
    <x v="2"/>
    <s v="TRK20605055"/>
    <n v="6"/>
    <s v="SAVE10"/>
    <x v="4"/>
    <n v="343.31"/>
  </r>
  <r>
    <s v="ORD201186"/>
    <x v="134"/>
    <x v="1175"/>
    <x v="0"/>
    <n v="1"/>
    <n v="163.32"/>
    <s v="676 Main St"/>
    <x v="4"/>
    <x v="0"/>
    <s v="TRK83702761"/>
    <n v="6"/>
    <s v="WINTER15"/>
    <x v="3"/>
    <n v="163.32"/>
  </r>
  <r>
    <s v="ORD201187"/>
    <x v="206"/>
    <x v="1176"/>
    <x v="6"/>
    <n v="2"/>
    <n v="184.6"/>
    <s v="562 Main St"/>
    <x v="3"/>
    <x v="3"/>
    <s v="TRK59962703"/>
    <n v="7"/>
    <s v="WINTER15"/>
    <x v="2"/>
    <n v="369.2"/>
  </r>
  <r>
    <s v="ORD201188"/>
    <x v="47"/>
    <x v="1177"/>
    <x v="4"/>
    <n v="2"/>
    <n v="371.29"/>
    <s v="924 Main St"/>
    <x v="3"/>
    <x v="0"/>
    <s v="TRK23086941"/>
    <n v="5"/>
    <s v="WINTER15"/>
    <x v="3"/>
    <n v="742.58"/>
  </r>
  <r>
    <s v="ORD201189"/>
    <x v="666"/>
    <x v="1178"/>
    <x v="2"/>
    <n v="5"/>
    <n v="389.22"/>
    <s v="149 Main St"/>
    <x v="4"/>
    <x v="1"/>
    <s v="TRK60856682"/>
    <n v="7"/>
    <s v="None"/>
    <x v="1"/>
    <n v="1946.1000000000001"/>
  </r>
  <r>
    <s v="ORD201190"/>
    <x v="647"/>
    <x v="1179"/>
    <x v="6"/>
    <n v="3"/>
    <n v="616.39"/>
    <s v="754 Main St"/>
    <x v="2"/>
    <x v="0"/>
    <s v="TRK82791646"/>
    <n v="6"/>
    <s v="FREESHIP"/>
    <x v="0"/>
    <n v="1849.17"/>
  </r>
  <r>
    <s v="ORD201191"/>
    <x v="441"/>
    <x v="1180"/>
    <x v="6"/>
    <n v="4"/>
    <n v="376.43"/>
    <s v="809 Main St"/>
    <x v="3"/>
    <x v="4"/>
    <s v="TRK67872709"/>
    <n v="5"/>
    <s v="WINTER15"/>
    <x v="0"/>
    <n v="1505.72"/>
  </r>
  <r>
    <s v="ORD201192"/>
    <x v="329"/>
    <x v="1181"/>
    <x v="3"/>
    <n v="3"/>
    <n v="432.85"/>
    <s v="999 Main St"/>
    <x v="1"/>
    <x v="4"/>
    <s v="TRK16240916"/>
    <n v="4"/>
    <s v="None"/>
    <x v="0"/>
    <n v="1298.5500000000002"/>
  </r>
  <r>
    <s v="ORD201193"/>
    <x v="667"/>
    <x v="1182"/>
    <x v="2"/>
    <n v="1"/>
    <n v="687.89"/>
    <s v="348 Main St"/>
    <x v="4"/>
    <x v="2"/>
    <s v="TRK38559816"/>
    <n v="1"/>
    <s v="FREESHIP"/>
    <x v="2"/>
    <n v="687.89"/>
  </r>
  <r>
    <s v="ORD201194"/>
    <x v="614"/>
    <x v="1183"/>
    <x v="4"/>
    <n v="3"/>
    <n v="189.44"/>
    <s v="725 Main St"/>
    <x v="4"/>
    <x v="4"/>
    <s v="TRK62067865"/>
    <n v="4"/>
    <s v="FREESHIP"/>
    <x v="2"/>
    <n v="568.31999999999994"/>
  </r>
  <r>
    <s v="ORD201195"/>
    <x v="643"/>
    <x v="1184"/>
    <x v="6"/>
    <n v="1"/>
    <n v="107.04"/>
    <s v="392 Main St"/>
    <x v="2"/>
    <x v="1"/>
    <s v="TRK38009181"/>
    <n v="6"/>
    <s v="FREESHIP"/>
    <x v="4"/>
    <n v="107.04"/>
  </r>
  <r>
    <s v="ORD201196"/>
    <x v="668"/>
    <x v="1185"/>
    <x v="0"/>
    <n v="2"/>
    <n v="662.53"/>
    <s v="778 Main St"/>
    <x v="1"/>
    <x v="1"/>
    <s v="TRK69207593"/>
    <n v="5"/>
    <s v="None"/>
    <x v="3"/>
    <n v="1325.06"/>
  </r>
  <r>
    <s v="ORD201197"/>
    <x v="669"/>
    <x v="1186"/>
    <x v="2"/>
    <n v="2"/>
    <n v="436.84"/>
    <s v="275 Main St"/>
    <x v="1"/>
    <x v="3"/>
    <s v="TRK88039356"/>
    <n v="2"/>
    <s v="FREESHIP"/>
    <x v="0"/>
    <n v="873.68"/>
  </r>
  <r>
    <s v="ORD201198"/>
    <x v="670"/>
    <x v="1187"/>
    <x v="3"/>
    <n v="4"/>
    <n v="262.52"/>
    <s v="509 Main St"/>
    <x v="0"/>
    <x v="1"/>
    <s v="TRK71683331"/>
    <n v="4"/>
    <s v="WINTER15"/>
    <x v="0"/>
    <n v="1050.08"/>
  </r>
  <r>
    <s v="ORD201199"/>
    <x v="236"/>
    <x v="1188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1F98C-155B-4E88-A9FB-211ACA9A4982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9:B57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A314F-60EA-4710-AF81-4A7DE7DCF988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7:B45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339E2-642F-4F6D-A2CE-7CF1A3556A8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8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E102B-8134-44C8-8563-8543B3E62EC9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3:B21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dataField="1" showAll="0" sortType="ascending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5EEF9-602E-47DA-A132-759161000F37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1:B74" firstHeaderRow="1" firstDataRow="1" firstDataCol="1"/>
  <pivotFields count="17">
    <pivotField showAll="0"/>
    <pivotField axis="axisRow"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4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3" baseField="0" baseItem="0" numFmtId="2"/>
  </dataFields>
  <formats count="3">
    <format dxfId="6">
      <pivotArea outline="0" collapsedLevelsAreSubtotals="1" fieldPosition="0"/>
    </format>
    <format dxfId="5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5B440-942E-4539-B00A-590FB6EB1E22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5:B33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talPrice" fld="13" subtotal="average" baseField="3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BAA6E-A12F-47DC-9C26-76C420E624B3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8:B94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3"/>
        <item x="4"/>
        <item x="0"/>
        <item x="1"/>
        <item t="default"/>
      </items>
    </pivotField>
    <pivotField numFmtId="2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ferralSource" fld="1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34EA9-91CC-4B31-B2E0-766F08CC8080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78:B84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7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A4F8F-9A79-4025-9FF4-A2A11F809D56}" name="Table13" displayName="Table13" ref="A1:C1201" totalsRowShown="0" headerRowDxfId="3" headerRowBorderDxfId="2" tableBorderDxfId="1">
  <autoFilter ref="A1:C1201" xr:uid="{005BE73D-4814-4D64-803D-54532C9523DF}"/>
  <tableColumns count="3">
    <tableColumn id="1" xr3:uid="{2B96EB06-2A28-4FA9-885B-30CDC422A55B}" name="Quantity"/>
    <tableColumn id="2" xr3:uid="{6C207A43-BFB3-4C11-BFF8-B318E51A0853}" name="UnitPrice"/>
    <tableColumn id="4" xr3:uid="{74DB75D7-3A96-426B-93CA-3C6C075A8A42}" name="TotalPric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78" workbookViewId="0">
      <selection activeCell="R10" sqref="R10"/>
    </sheetView>
  </sheetViews>
  <sheetFormatPr defaultRowHeight="14.4" x14ac:dyDescent="0.3"/>
  <cols>
    <col min="2" max="2" width="12.5546875" customWidth="1"/>
    <col min="7" max="7" width="16" customWidth="1"/>
    <col min="17" max="17" width="28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480C4-01D8-4741-B043-CDD74109C1EE}">
  <dimension ref="A1:S1201"/>
  <sheetViews>
    <sheetView zoomScale="91" workbookViewId="0">
      <selection activeCell="Q19" sqref="Q19"/>
    </sheetView>
  </sheetViews>
  <sheetFormatPr defaultRowHeight="14.4" x14ac:dyDescent="0.3"/>
  <cols>
    <col min="1" max="1" width="10.109375" customWidth="1"/>
    <col min="2" max="2" width="10.5546875" customWidth="1"/>
    <col min="3" max="3" width="11.21875" customWidth="1"/>
    <col min="4" max="4" width="8.88671875" customWidth="1"/>
    <col min="13" max="13" width="20.44140625" customWidth="1"/>
    <col min="15" max="15" width="13.6640625" customWidth="1"/>
  </cols>
  <sheetData>
    <row r="1" spans="1:19" x14ac:dyDescent="0.3">
      <c r="A1" s="4" t="s">
        <v>4</v>
      </c>
      <c r="B1" s="4" t="s">
        <v>5</v>
      </c>
      <c r="C1" s="4" t="s">
        <v>13</v>
      </c>
    </row>
    <row r="2" spans="1:19" ht="21" x14ac:dyDescent="0.4">
      <c r="A2">
        <v>5</v>
      </c>
      <c r="B2">
        <v>570.62</v>
      </c>
      <c r="C2">
        <v>2853.1</v>
      </c>
      <c r="E2" s="7" t="s">
        <v>4293</v>
      </c>
      <c r="I2" s="7" t="s">
        <v>4292</v>
      </c>
      <c r="M2" s="10" t="s">
        <v>4323</v>
      </c>
    </row>
    <row r="3" spans="1:19" ht="18" x14ac:dyDescent="0.35">
      <c r="A3">
        <v>2</v>
      </c>
      <c r="B3">
        <v>151.35</v>
      </c>
      <c r="C3">
        <v>302.7</v>
      </c>
      <c r="E3" s="6" t="s">
        <v>4291</v>
      </c>
      <c r="F3" s="6" t="s">
        <v>4288</v>
      </c>
      <c r="I3" s="6" t="s">
        <v>4289</v>
      </c>
      <c r="J3" s="6" t="s">
        <v>4288</v>
      </c>
      <c r="M3" s="5" t="s">
        <v>4324</v>
      </c>
      <c r="N3" s="5">
        <f>_xlfn.QUARTILE.INC(C:C,1)</f>
        <v>410.52</v>
      </c>
      <c r="P3" s="20" t="s">
        <v>4329</v>
      </c>
      <c r="Q3" s="21"/>
      <c r="R3" s="21"/>
      <c r="S3" s="21"/>
    </row>
    <row r="4" spans="1:19" x14ac:dyDescent="0.3">
      <c r="A4">
        <v>5</v>
      </c>
      <c r="B4">
        <v>550.67999999999995</v>
      </c>
      <c r="C4">
        <v>2753.4</v>
      </c>
      <c r="E4" s="5" t="s">
        <v>4287</v>
      </c>
      <c r="F4" s="5">
        <f>COUNT(A:A)</f>
        <v>1200</v>
      </c>
      <c r="I4" s="5" t="s">
        <v>4287</v>
      </c>
      <c r="J4" s="5">
        <f>COUNT(C:C)</f>
        <v>1200</v>
      </c>
      <c r="M4" s="5" t="s">
        <v>4325</v>
      </c>
      <c r="N4" s="5">
        <f>_xlfn.QUARTILE.INC(C:C,3)</f>
        <v>1578.4749999999999</v>
      </c>
      <c r="P4" s="21"/>
      <c r="Q4" s="21"/>
      <c r="R4" s="21"/>
      <c r="S4" s="21"/>
    </row>
    <row r="5" spans="1:19" x14ac:dyDescent="0.3">
      <c r="A5">
        <v>1</v>
      </c>
      <c r="B5">
        <v>273.19</v>
      </c>
      <c r="C5">
        <v>273.19</v>
      </c>
      <c r="E5" s="5" t="s">
        <v>4286</v>
      </c>
      <c r="F5" s="5">
        <f>AVERAGE(A:A)</f>
        <v>2.9458333333333333</v>
      </c>
      <c r="I5" s="5" t="s">
        <v>4286</v>
      </c>
      <c r="J5" s="5">
        <f>AVERAGE(C:C)</f>
        <v>1053.9683000000005</v>
      </c>
      <c r="M5" s="5"/>
      <c r="N5" s="5"/>
      <c r="P5" s="21"/>
      <c r="Q5" s="21"/>
      <c r="R5" s="21"/>
      <c r="S5" s="21"/>
    </row>
    <row r="6" spans="1:19" x14ac:dyDescent="0.3">
      <c r="A6">
        <v>4</v>
      </c>
      <c r="B6">
        <v>626.01</v>
      </c>
      <c r="C6">
        <v>2504.04</v>
      </c>
      <c r="E6" s="5" t="s">
        <v>4285</v>
      </c>
      <c r="F6" s="5">
        <f>MEDIAN(A:A)</f>
        <v>3</v>
      </c>
      <c r="I6" s="5" t="s">
        <v>4285</v>
      </c>
      <c r="J6" s="5">
        <f>MEDIAN(C:C)</f>
        <v>823.61500000000001</v>
      </c>
      <c r="M6" s="5" t="s">
        <v>4326</v>
      </c>
      <c r="N6" s="5">
        <f>N4-N3</f>
        <v>1167.9549999999999</v>
      </c>
      <c r="P6" s="21"/>
      <c r="Q6" s="21"/>
      <c r="R6" s="21"/>
      <c r="S6" s="21"/>
    </row>
    <row r="7" spans="1:19" x14ac:dyDescent="0.3">
      <c r="A7">
        <v>2</v>
      </c>
      <c r="B7">
        <v>245.86</v>
      </c>
      <c r="C7">
        <v>491.72</v>
      </c>
      <c r="E7" s="5" t="s">
        <v>4284</v>
      </c>
      <c r="F7" s="5">
        <f>MIN(Table13[Quantity])</f>
        <v>1</v>
      </c>
      <c r="I7" s="5" t="s">
        <v>4284</v>
      </c>
      <c r="J7" s="5">
        <f>MIN(C:C)</f>
        <v>11.39</v>
      </c>
      <c r="M7" s="5"/>
      <c r="N7" s="5"/>
      <c r="P7" s="21"/>
      <c r="Q7" s="21"/>
      <c r="R7" s="21"/>
      <c r="S7" s="21"/>
    </row>
    <row r="8" spans="1:19" x14ac:dyDescent="0.3">
      <c r="A8">
        <v>1</v>
      </c>
      <c r="B8">
        <v>664.42</v>
      </c>
      <c r="C8">
        <v>664.42</v>
      </c>
      <c r="E8" s="5" t="s">
        <v>4283</v>
      </c>
      <c r="F8" s="5">
        <f>MAX(A:A)</f>
        <v>5</v>
      </c>
      <c r="I8" s="5" t="s">
        <v>4283</v>
      </c>
      <c r="J8" s="5">
        <f>MAX(C:C)</f>
        <v>3456.4</v>
      </c>
      <c r="M8" s="5" t="s">
        <v>4327</v>
      </c>
      <c r="N8" s="5">
        <f>N3-1.5*(N6)</f>
        <v>-1341.4124999999999</v>
      </c>
      <c r="P8" s="21"/>
      <c r="Q8" s="21"/>
      <c r="R8" s="21"/>
      <c r="S8" s="21"/>
    </row>
    <row r="9" spans="1:19" x14ac:dyDescent="0.3">
      <c r="A9">
        <v>5</v>
      </c>
      <c r="B9">
        <v>149.55000000000001</v>
      </c>
      <c r="C9">
        <v>747.75</v>
      </c>
      <c r="M9" s="5" t="s">
        <v>4328</v>
      </c>
      <c r="N9" s="5">
        <f>N4+1.5*(N6)</f>
        <v>3330.4074999999998</v>
      </c>
      <c r="P9" s="21"/>
      <c r="Q9" s="21"/>
      <c r="R9" s="21"/>
      <c r="S9" s="21"/>
    </row>
    <row r="10" spans="1:19" x14ac:dyDescent="0.3">
      <c r="A10">
        <v>2</v>
      </c>
      <c r="B10">
        <v>134.28</v>
      </c>
      <c r="C10">
        <v>268.56</v>
      </c>
    </row>
    <row r="11" spans="1:19" ht="21.6" thickBot="1" x14ac:dyDescent="0.45">
      <c r="A11">
        <v>4</v>
      </c>
      <c r="B11">
        <v>509.38</v>
      </c>
      <c r="C11">
        <v>2037.52</v>
      </c>
      <c r="E11" s="7" t="s">
        <v>4290</v>
      </c>
    </row>
    <row r="12" spans="1:19" ht="18" x14ac:dyDescent="0.35">
      <c r="A12">
        <v>5</v>
      </c>
      <c r="B12">
        <v>625.97</v>
      </c>
      <c r="C12">
        <v>3129.85</v>
      </c>
      <c r="E12" s="6" t="s">
        <v>4289</v>
      </c>
      <c r="F12" s="6" t="s">
        <v>4288</v>
      </c>
      <c r="M12" s="12" t="s">
        <v>4330</v>
      </c>
      <c r="N12" s="13"/>
      <c r="O12" s="13"/>
      <c r="P12" s="14">
        <f>COUNTIF(C:C,"&gt;"&amp;N9)</f>
        <v>8</v>
      </c>
    </row>
    <row r="13" spans="1:19" x14ac:dyDescent="0.3">
      <c r="A13">
        <v>3</v>
      </c>
      <c r="B13">
        <v>49.14</v>
      </c>
      <c r="C13">
        <v>147.41999999999999</v>
      </c>
      <c r="E13" s="5" t="s">
        <v>4287</v>
      </c>
      <c r="F13" s="5">
        <f>COUNT(B:B)</f>
        <v>1200</v>
      </c>
      <c r="M13" s="15" t="s">
        <v>4331</v>
      </c>
      <c r="N13" s="5"/>
      <c r="O13" s="5"/>
      <c r="P13" s="16">
        <f>COUNTIF(C:C,"&lt;"&amp;N8)</f>
        <v>0</v>
      </c>
    </row>
    <row r="14" spans="1:19" ht="18.600000000000001" thickBot="1" x14ac:dyDescent="0.4">
      <c r="A14">
        <v>2</v>
      </c>
      <c r="B14">
        <v>180.5</v>
      </c>
      <c r="C14">
        <v>361</v>
      </c>
      <c r="E14" s="5" t="s">
        <v>4286</v>
      </c>
      <c r="F14" s="5">
        <f>AVERAGE(B:B)</f>
        <v>356.41275000000007</v>
      </c>
      <c r="M14" s="19" t="s">
        <v>4332</v>
      </c>
      <c r="N14" s="17"/>
      <c r="O14" s="17"/>
      <c r="P14" s="18">
        <f>P12+P13</f>
        <v>8</v>
      </c>
    </row>
    <row r="15" spans="1:19" x14ac:dyDescent="0.3">
      <c r="A15">
        <v>3</v>
      </c>
      <c r="B15">
        <v>201.49</v>
      </c>
      <c r="C15">
        <v>604.47</v>
      </c>
      <c r="E15" s="5" t="s">
        <v>4285</v>
      </c>
      <c r="F15" s="5">
        <f>MEDIAN(B:B)</f>
        <v>364.21</v>
      </c>
    </row>
    <row r="16" spans="1:19" x14ac:dyDescent="0.3">
      <c r="A16">
        <v>2</v>
      </c>
      <c r="B16">
        <v>393.33</v>
      </c>
      <c r="C16">
        <v>786.66</v>
      </c>
      <c r="E16" s="5" t="s">
        <v>4284</v>
      </c>
      <c r="F16" s="5">
        <f>MIN(B:B)</f>
        <v>11.39</v>
      </c>
    </row>
    <row r="17" spans="1:6" x14ac:dyDescent="0.3">
      <c r="A17">
        <v>1</v>
      </c>
      <c r="B17">
        <v>473.96</v>
      </c>
      <c r="C17">
        <v>473.96</v>
      </c>
      <c r="E17" s="5" t="s">
        <v>4283</v>
      </c>
      <c r="F17" s="5">
        <f>MAX(B:B)</f>
        <v>699.93</v>
      </c>
    </row>
    <row r="18" spans="1:6" x14ac:dyDescent="0.3">
      <c r="A18">
        <v>2</v>
      </c>
      <c r="B18">
        <v>533.80999999999995</v>
      </c>
      <c r="C18">
        <v>1067.6199999999999</v>
      </c>
    </row>
    <row r="19" spans="1:6" x14ac:dyDescent="0.3">
      <c r="A19">
        <v>1</v>
      </c>
      <c r="B19">
        <v>423.4</v>
      </c>
      <c r="C19">
        <v>423.4</v>
      </c>
    </row>
    <row r="20" spans="1:6" x14ac:dyDescent="0.3">
      <c r="A20">
        <v>1</v>
      </c>
      <c r="B20">
        <v>431.44</v>
      </c>
      <c r="C20">
        <v>431.44</v>
      </c>
    </row>
    <row r="21" spans="1:6" x14ac:dyDescent="0.3">
      <c r="A21">
        <v>5</v>
      </c>
      <c r="B21">
        <v>224</v>
      </c>
      <c r="C21">
        <v>1120</v>
      </c>
    </row>
    <row r="22" spans="1:6" x14ac:dyDescent="0.3">
      <c r="A22">
        <v>5</v>
      </c>
      <c r="B22">
        <v>62.51</v>
      </c>
      <c r="C22">
        <v>312.55</v>
      </c>
    </row>
    <row r="23" spans="1:6" x14ac:dyDescent="0.3">
      <c r="A23">
        <v>4</v>
      </c>
      <c r="B23">
        <v>342.95</v>
      </c>
      <c r="C23">
        <v>1371.8</v>
      </c>
    </row>
    <row r="24" spans="1:6" x14ac:dyDescent="0.3">
      <c r="A24">
        <v>2</v>
      </c>
      <c r="B24">
        <v>49.62</v>
      </c>
      <c r="C24">
        <v>99.24</v>
      </c>
    </row>
    <row r="25" spans="1:6" x14ac:dyDescent="0.3">
      <c r="A25">
        <v>4</v>
      </c>
      <c r="B25">
        <v>273.25</v>
      </c>
      <c r="C25">
        <v>1093</v>
      </c>
    </row>
    <row r="26" spans="1:6" x14ac:dyDescent="0.3">
      <c r="A26">
        <v>2</v>
      </c>
      <c r="B26">
        <v>230.95</v>
      </c>
      <c r="C26">
        <v>461.9</v>
      </c>
    </row>
    <row r="27" spans="1:6" x14ac:dyDescent="0.3">
      <c r="A27">
        <v>1</v>
      </c>
      <c r="B27">
        <v>399.98</v>
      </c>
      <c r="C27">
        <v>399.98</v>
      </c>
    </row>
    <row r="28" spans="1:6" x14ac:dyDescent="0.3">
      <c r="A28">
        <v>5</v>
      </c>
      <c r="B28">
        <v>59.55</v>
      </c>
      <c r="C28">
        <v>297.75</v>
      </c>
    </row>
    <row r="29" spans="1:6" x14ac:dyDescent="0.3">
      <c r="A29">
        <v>1</v>
      </c>
      <c r="B29">
        <v>472.74</v>
      </c>
      <c r="C29">
        <v>472.74</v>
      </c>
    </row>
    <row r="30" spans="1:6" x14ac:dyDescent="0.3">
      <c r="A30">
        <v>4</v>
      </c>
      <c r="B30">
        <v>160.07</v>
      </c>
      <c r="C30">
        <v>640.28</v>
      </c>
    </row>
    <row r="31" spans="1:6" x14ac:dyDescent="0.3">
      <c r="A31">
        <v>3</v>
      </c>
      <c r="B31">
        <v>423.53</v>
      </c>
      <c r="C31">
        <v>1270.5899999999999</v>
      </c>
    </row>
    <row r="32" spans="1:6" x14ac:dyDescent="0.3">
      <c r="A32">
        <v>2</v>
      </c>
      <c r="B32">
        <v>426.7</v>
      </c>
      <c r="C32">
        <v>853.4</v>
      </c>
    </row>
    <row r="33" spans="1:3" x14ac:dyDescent="0.3">
      <c r="A33">
        <v>3</v>
      </c>
      <c r="B33">
        <v>500.08</v>
      </c>
      <c r="C33">
        <v>1500.24</v>
      </c>
    </row>
    <row r="34" spans="1:3" x14ac:dyDescent="0.3">
      <c r="A34">
        <v>5</v>
      </c>
      <c r="B34">
        <v>536.72</v>
      </c>
      <c r="C34">
        <v>2683.6</v>
      </c>
    </row>
    <row r="35" spans="1:3" x14ac:dyDescent="0.3">
      <c r="A35">
        <v>1</v>
      </c>
      <c r="B35">
        <v>162.77000000000001</v>
      </c>
      <c r="C35">
        <v>162.77000000000001</v>
      </c>
    </row>
    <row r="36" spans="1:3" x14ac:dyDescent="0.3">
      <c r="A36">
        <v>4</v>
      </c>
      <c r="B36">
        <v>576.52</v>
      </c>
      <c r="C36">
        <v>2306.08</v>
      </c>
    </row>
    <row r="37" spans="1:3" x14ac:dyDescent="0.3">
      <c r="A37">
        <v>2</v>
      </c>
      <c r="B37">
        <v>465.15</v>
      </c>
      <c r="C37">
        <v>930.3</v>
      </c>
    </row>
    <row r="38" spans="1:3" x14ac:dyDescent="0.3">
      <c r="A38">
        <v>2</v>
      </c>
      <c r="B38">
        <v>534.42999999999995</v>
      </c>
      <c r="C38">
        <v>1068.8599999999999</v>
      </c>
    </row>
    <row r="39" spans="1:3" x14ac:dyDescent="0.3">
      <c r="A39">
        <v>2</v>
      </c>
      <c r="B39">
        <v>76.739999999999995</v>
      </c>
      <c r="C39">
        <v>153.47999999999999</v>
      </c>
    </row>
    <row r="40" spans="1:3" x14ac:dyDescent="0.3">
      <c r="A40">
        <v>1</v>
      </c>
      <c r="B40">
        <v>245.89</v>
      </c>
      <c r="C40">
        <v>245.89</v>
      </c>
    </row>
    <row r="41" spans="1:3" x14ac:dyDescent="0.3">
      <c r="A41">
        <v>3</v>
      </c>
      <c r="B41">
        <v>256.45999999999998</v>
      </c>
      <c r="C41">
        <v>769.37999999999988</v>
      </c>
    </row>
    <row r="42" spans="1:3" x14ac:dyDescent="0.3">
      <c r="A42">
        <v>2</v>
      </c>
      <c r="B42">
        <v>344.02</v>
      </c>
      <c r="C42">
        <v>688.04</v>
      </c>
    </row>
    <row r="43" spans="1:3" x14ac:dyDescent="0.3">
      <c r="A43">
        <v>3</v>
      </c>
      <c r="B43">
        <v>611.45000000000005</v>
      </c>
      <c r="C43">
        <v>1834.35</v>
      </c>
    </row>
    <row r="44" spans="1:3" x14ac:dyDescent="0.3">
      <c r="A44">
        <v>2</v>
      </c>
      <c r="B44">
        <v>151.66</v>
      </c>
      <c r="C44">
        <v>303.32</v>
      </c>
    </row>
    <row r="45" spans="1:3" x14ac:dyDescent="0.3">
      <c r="A45">
        <v>3</v>
      </c>
      <c r="B45">
        <v>499.21</v>
      </c>
      <c r="C45">
        <v>1497.63</v>
      </c>
    </row>
    <row r="46" spans="1:3" x14ac:dyDescent="0.3">
      <c r="A46">
        <v>2</v>
      </c>
      <c r="B46">
        <v>550.17999999999995</v>
      </c>
      <c r="C46">
        <v>1100.3599999999999</v>
      </c>
    </row>
    <row r="47" spans="1:3" x14ac:dyDescent="0.3">
      <c r="A47">
        <v>1</v>
      </c>
      <c r="B47">
        <v>317.25</v>
      </c>
      <c r="C47">
        <v>317.25</v>
      </c>
    </row>
    <row r="48" spans="1:3" x14ac:dyDescent="0.3">
      <c r="A48">
        <v>4</v>
      </c>
      <c r="B48">
        <v>550.14</v>
      </c>
      <c r="C48">
        <v>2200.56</v>
      </c>
    </row>
    <row r="49" spans="1:3" x14ac:dyDescent="0.3">
      <c r="A49">
        <v>2</v>
      </c>
      <c r="B49">
        <v>209.94</v>
      </c>
      <c r="C49">
        <v>419.88</v>
      </c>
    </row>
    <row r="50" spans="1:3" x14ac:dyDescent="0.3">
      <c r="A50">
        <v>2</v>
      </c>
      <c r="B50">
        <v>80.77</v>
      </c>
      <c r="C50">
        <v>161.54</v>
      </c>
    </row>
    <row r="51" spans="1:3" x14ac:dyDescent="0.3">
      <c r="A51">
        <v>1</v>
      </c>
      <c r="B51">
        <v>30.44</v>
      </c>
      <c r="C51">
        <v>30.44</v>
      </c>
    </row>
    <row r="52" spans="1:3" x14ac:dyDescent="0.3">
      <c r="A52">
        <v>1</v>
      </c>
      <c r="B52">
        <v>179.22</v>
      </c>
      <c r="C52">
        <v>179.22</v>
      </c>
    </row>
    <row r="53" spans="1:3" x14ac:dyDescent="0.3">
      <c r="A53">
        <v>1</v>
      </c>
      <c r="B53">
        <v>388.33</v>
      </c>
      <c r="C53">
        <v>388.33</v>
      </c>
    </row>
    <row r="54" spans="1:3" x14ac:dyDescent="0.3">
      <c r="A54">
        <v>1</v>
      </c>
      <c r="B54">
        <v>586.44000000000005</v>
      </c>
      <c r="C54">
        <v>586.44000000000005</v>
      </c>
    </row>
    <row r="55" spans="1:3" x14ac:dyDescent="0.3">
      <c r="A55">
        <v>4</v>
      </c>
      <c r="B55">
        <v>488.78</v>
      </c>
      <c r="C55">
        <v>1955.12</v>
      </c>
    </row>
    <row r="56" spans="1:3" x14ac:dyDescent="0.3">
      <c r="A56">
        <v>1</v>
      </c>
      <c r="B56">
        <v>280.25</v>
      </c>
      <c r="C56">
        <v>280.25</v>
      </c>
    </row>
    <row r="57" spans="1:3" x14ac:dyDescent="0.3">
      <c r="A57">
        <v>3</v>
      </c>
      <c r="B57">
        <v>344.4</v>
      </c>
      <c r="C57">
        <v>1033.2</v>
      </c>
    </row>
    <row r="58" spans="1:3" x14ac:dyDescent="0.3">
      <c r="A58">
        <v>3</v>
      </c>
      <c r="B58">
        <v>479.21</v>
      </c>
      <c r="C58">
        <v>1437.63</v>
      </c>
    </row>
    <row r="59" spans="1:3" x14ac:dyDescent="0.3">
      <c r="A59">
        <v>5</v>
      </c>
      <c r="B59">
        <v>314.27</v>
      </c>
      <c r="C59">
        <v>1571.35</v>
      </c>
    </row>
    <row r="60" spans="1:3" x14ac:dyDescent="0.3">
      <c r="A60">
        <v>4</v>
      </c>
      <c r="B60">
        <v>474.69</v>
      </c>
      <c r="C60">
        <v>1898.76</v>
      </c>
    </row>
    <row r="61" spans="1:3" x14ac:dyDescent="0.3">
      <c r="A61">
        <v>4</v>
      </c>
      <c r="B61">
        <v>593.27</v>
      </c>
      <c r="C61">
        <v>2373.08</v>
      </c>
    </row>
    <row r="62" spans="1:3" x14ac:dyDescent="0.3">
      <c r="A62">
        <v>1</v>
      </c>
      <c r="B62">
        <v>417.1</v>
      </c>
      <c r="C62">
        <v>417.1</v>
      </c>
    </row>
    <row r="63" spans="1:3" x14ac:dyDescent="0.3">
      <c r="A63">
        <v>4</v>
      </c>
      <c r="B63">
        <v>122.2</v>
      </c>
      <c r="C63">
        <v>488.8</v>
      </c>
    </row>
    <row r="64" spans="1:3" x14ac:dyDescent="0.3">
      <c r="A64">
        <v>2</v>
      </c>
      <c r="B64">
        <v>43.15</v>
      </c>
      <c r="C64">
        <v>86.3</v>
      </c>
    </row>
    <row r="65" spans="1:3" x14ac:dyDescent="0.3">
      <c r="A65">
        <v>1</v>
      </c>
      <c r="B65">
        <v>564.86</v>
      </c>
      <c r="C65">
        <v>564.86</v>
      </c>
    </row>
    <row r="66" spans="1:3" x14ac:dyDescent="0.3">
      <c r="A66">
        <v>3</v>
      </c>
      <c r="B66">
        <v>130.61000000000001</v>
      </c>
      <c r="C66">
        <v>391.83</v>
      </c>
    </row>
    <row r="67" spans="1:3" x14ac:dyDescent="0.3">
      <c r="A67">
        <v>5</v>
      </c>
      <c r="B67">
        <v>81.7</v>
      </c>
      <c r="C67">
        <v>408.5</v>
      </c>
    </row>
    <row r="68" spans="1:3" x14ac:dyDescent="0.3">
      <c r="A68">
        <v>5</v>
      </c>
      <c r="B68">
        <v>127.18</v>
      </c>
      <c r="C68">
        <v>635.90000000000009</v>
      </c>
    </row>
    <row r="69" spans="1:3" x14ac:dyDescent="0.3">
      <c r="A69">
        <v>4</v>
      </c>
      <c r="B69">
        <v>12.1</v>
      </c>
      <c r="C69">
        <v>48.4</v>
      </c>
    </row>
    <row r="70" spans="1:3" x14ac:dyDescent="0.3">
      <c r="A70">
        <v>3</v>
      </c>
      <c r="B70">
        <v>490.92</v>
      </c>
      <c r="C70">
        <v>1472.76</v>
      </c>
    </row>
    <row r="71" spans="1:3" x14ac:dyDescent="0.3">
      <c r="A71">
        <v>3</v>
      </c>
      <c r="B71">
        <v>478.65</v>
      </c>
      <c r="C71">
        <v>1435.95</v>
      </c>
    </row>
    <row r="72" spans="1:3" x14ac:dyDescent="0.3">
      <c r="A72">
        <v>1</v>
      </c>
      <c r="B72">
        <v>629.21</v>
      </c>
      <c r="C72">
        <v>629.21</v>
      </c>
    </row>
    <row r="73" spans="1:3" x14ac:dyDescent="0.3">
      <c r="A73">
        <v>3</v>
      </c>
      <c r="B73">
        <v>434.45</v>
      </c>
      <c r="C73">
        <v>1303.3499999999999</v>
      </c>
    </row>
    <row r="74" spans="1:3" x14ac:dyDescent="0.3">
      <c r="A74">
        <v>4</v>
      </c>
      <c r="B74">
        <v>589.44000000000005</v>
      </c>
      <c r="C74">
        <v>2357.7600000000002</v>
      </c>
    </row>
    <row r="75" spans="1:3" x14ac:dyDescent="0.3">
      <c r="A75">
        <v>4</v>
      </c>
      <c r="B75">
        <v>433.45</v>
      </c>
      <c r="C75">
        <v>1733.8</v>
      </c>
    </row>
    <row r="76" spans="1:3" x14ac:dyDescent="0.3">
      <c r="A76">
        <v>5</v>
      </c>
      <c r="B76">
        <v>90.87</v>
      </c>
      <c r="C76">
        <v>454.35</v>
      </c>
    </row>
    <row r="77" spans="1:3" x14ac:dyDescent="0.3">
      <c r="A77">
        <v>3</v>
      </c>
      <c r="B77">
        <v>398.17</v>
      </c>
      <c r="C77">
        <v>1194.51</v>
      </c>
    </row>
    <row r="78" spans="1:3" x14ac:dyDescent="0.3">
      <c r="A78">
        <v>4</v>
      </c>
      <c r="B78">
        <v>382.88</v>
      </c>
      <c r="C78">
        <v>1531.52</v>
      </c>
    </row>
    <row r="79" spans="1:3" x14ac:dyDescent="0.3">
      <c r="A79">
        <v>1</v>
      </c>
      <c r="B79">
        <v>583.17999999999995</v>
      </c>
      <c r="C79">
        <v>583.17999999999995</v>
      </c>
    </row>
    <row r="80" spans="1:3" x14ac:dyDescent="0.3">
      <c r="A80">
        <v>4</v>
      </c>
      <c r="B80">
        <v>175.36</v>
      </c>
      <c r="C80">
        <v>701.44</v>
      </c>
    </row>
    <row r="81" spans="1:3" x14ac:dyDescent="0.3">
      <c r="A81">
        <v>2</v>
      </c>
      <c r="B81">
        <v>311.91000000000003</v>
      </c>
      <c r="C81">
        <v>623.82000000000005</v>
      </c>
    </row>
    <row r="82" spans="1:3" x14ac:dyDescent="0.3">
      <c r="A82">
        <v>3</v>
      </c>
      <c r="B82">
        <v>589.55999999999995</v>
      </c>
      <c r="C82">
        <v>1768.68</v>
      </c>
    </row>
    <row r="83" spans="1:3" x14ac:dyDescent="0.3">
      <c r="A83">
        <v>2</v>
      </c>
      <c r="B83">
        <v>394.3</v>
      </c>
      <c r="C83">
        <v>788.6</v>
      </c>
    </row>
    <row r="84" spans="1:3" x14ac:dyDescent="0.3">
      <c r="A84">
        <v>4</v>
      </c>
      <c r="B84">
        <v>565.20000000000005</v>
      </c>
      <c r="C84">
        <v>2260.8000000000002</v>
      </c>
    </row>
    <row r="85" spans="1:3" x14ac:dyDescent="0.3">
      <c r="A85">
        <v>4</v>
      </c>
      <c r="B85">
        <v>540.41</v>
      </c>
      <c r="C85">
        <v>2161.64</v>
      </c>
    </row>
    <row r="86" spans="1:3" x14ac:dyDescent="0.3">
      <c r="A86">
        <v>2</v>
      </c>
      <c r="B86">
        <v>165.49</v>
      </c>
      <c r="C86">
        <v>330.98</v>
      </c>
    </row>
    <row r="87" spans="1:3" x14ac:dyDescent="0.3">
      <c r="A87">
        <v>3</v>
      </c>
      <c r="B87">
        <v>146.72999999999999</v>
      </c>
      <c r="C87">
        <v>440.18999999999988</v>
      </c>
    </row>
    <row r="88" spans="1:3" x14ac:dyDescent="0.3">
      <c r="A88">
        <v>5</v>
      </c>
      <c r="B88">
        <v>643.03</v>
      </c>
      <c r="C88">
        <v>3215.15</v>
      </c>
    </row>
    <row r="89" spans="1:3" x14ac:dyDescent="0.3">
      <c r="A89">
        <v>3</v>
      </c>
      <c r="B89">
        <v>225.11</v>
      </c>
      <c r="C89">
        <v>675.33</v>
      </c>
    </row>
    <row r="90" spans="1:3" x14ac:dyDescent="0.3">
      <c r="A90">
        <v>3</v>
      </c>
      <c r="B90">
        <v>114.81</v>
      </c>
      <c r="C90">
        <v>344.43</v>
      </c>
    </row>
    <row r="91" spans="1:3" x14ac:dyDescent="0.3">
      <c r="A91">
        <v>5</v>
      </c>
      <c r="B91">
        <v>455.33</v>
      </c>
      <c r="C91">
        <v>2276.65</v>
      </c>
    </row>
    <row r="92" spans="1:3" x14ac:dyDescent="0.3">
      <c r="A92">
        <v>4</v>
      </c>
      <c r="B92">
        <v>182.08</v>
      </c>
      <c r="C92">
        <v>728.32</v>
      </c>
    </row>
    <row r="93" spans="1:3" x14ac:dyDescent="0.3">
      <c r="A93">
        <v>5</v>
      </c>
      <c r="B93">
        <v>492.75</v>
      </c>
      <c r="C93">
        <v>2463.75</v>
      </c>
    </row>
    <row r="94" spans="1:3" x14ac:dyDescent="0.3">
      <c r="A94">
        <v>4</v>
      </c>
      <c r="B94">
        <v>48.61</v>
      </c>
      <c r="C94">
        <v>194.44</v>
      </c>
    </row>
    <row r="95" spans="1:3" x14ac:dyDescent="0.3">
      <c r="A95">
        <v>4</v>
      </c>
      <c r="B95">
        <v>431.01</v>
      </c>
      <c r="C95">
        <v>1724.04</v>
      </c>
    </row>
    <row r="96" spans="1:3" x14ac:dyDescent="0.3">
      <c r="A96">
        <v>1</v>
      </c>
      <c r="B96">
        <v>531.17999999999995</v>
      </c>
      <c r="C96">
        <v>531.17999999999995</v>
      </c>
    </row>
    <row r="97" spans="1:3" x14ac:dyDescent="0.3">
      <c r="A97">
        <v>4</v>
      </c>
      <c r="B97">
        <v>117.51</v>
      </c>
      <c r="C97">
        <v>470.04</v>
      </c>
    </row>
    <row r="98" spans="1:3" x14ac:dyDescent="0.3">
      <c r="A98">
        <v>2</v>
      </c>
      <c r="B98">
        <v>232.83</v>
      </c>
      <c r="C98">
        <v>465.66</v>
      </c>
    </row>
    <row r="99" spans="1:3" x14ac:dyDescent="0.3">
      <c r="A99">
        <v>5</v>
      </c>
      <c r="B99">
        <v>619.52</v>
      </c>
      <c r="C99">
        <v>3097.6</v>
      </c>
    </row>
    <row r="100" spans="1:3" x14ac:dyDescent="0.3">
      <c r="A100">
        <v>2</v>
      </c>
      <c r="B100">
        <v>228.54</v>
      </c>
      <c r="C100">
        <v>457.08</v>
      </c>
    </row>
    <row r="101" spans="1:3" x14ac:dyDescent="0.3">
      <c r="A101">
        <v>1</v>
      </c>
      <c r="B101">
        <v>201.58</v>
      </c>
      <c r="C101">
        <v>201.58</v>
      </c>
    </row>
    <row r="102" spans="1:3" x14ac:dyDescent="0.3">
      <c r="A102">
        <v>3</v>
      </c>
      <c r="B102">
        <v>664.79</v>
      </c>
      <c r="C102">
        <v>1994.37</v>
      </c>
    </row>
    <row r="103" spans="1:3" x14ac:dyDescent="0.3">
      <c r="A103">
        <v>1</v>
      </c>
      <c r="B103">
        <v>381.02</v>
      </c>
      <c r="C103">
        <v>381.02</v>
      </c>
    </row>
    <row r="104" spans="1:3" x14ac:dyDescent="0.3">
      <c r="A104">
        <v>2</v>
      </c>
      <c r="B104">
        <v>70.34</v>
      </c>
      <c r="C104">
        <v>140.68</v>
      </c>
    </row>
    <row r="105" spans="1:3" x14ac:dyDescent="0.3">
      <c r="A105">
        <v>4</v>
      </c>
      <c r="B105">
        <v>218.43</v>
      </c>
      <c r="C105">
        <v>873.72</v>
      </c>
    </row>
    <row r="106" spans="1:3" x14ac:dyDescent="0.3">
      <c r="A106">
        <v>1</v>
      </c>
      <c r="B106">
        <v>582.04</v>
      </c>
      <c r="C106">
        <v>582.04</v>
      </c>
    </row>
    <row r="107" spans="1:3" x14ac:dyDescent="0.3">
      <c r="A107">
        <v>3</v>
      </c>
      <c r="B107">
        <v>185.4</v>
      </c>
      <c r="C107">
        <v>556.20000000000005</v>
      </c>
    </row>
    <row r="108" spans="1:3" x14ac:dyDescent="0.3">
      <c r="A108">
        <v>3</v>
      </c>
      <c r="B108">
        <v>465.05</v>
      </c>
      <c r="C108">
        <v>1395.15</v>
      </c>
    </row>
    <row r="109" spans="1:3" x14ac:dyDescent="0.3">
      <c r="A109">
        <v>5</v>
      </c>
      <c r="B109">
        <v>670.75</v>
      </c>
      <c r="C109">
        <v>3353.75</v>
      </c>
    </row>
    <row r="110" spans="1:3" x14ac:dyDescent="0.3">
      <c r="A110">
        <v>5</v>
      </c>
      <c r="B110">
        <v>48.38</v>
      </c>
      <c r="C110">
        <v>241.9</v>
      </c>
    </row>
    <row r="111" spans="1:3" x14ac:dyDescent="0.3">
      <c r="A111">
        <v>3</v>
      </c>
      <c r="B111">
        <v>592.87</v>
      </c>
      <c r="C111">
        <v>1778.61</v>
      </c>
    </row>
    <row r="112" spans="1:3" x14ac:dyDescent="0.3">
      <c r="A112">
        <v>1</v>
      </c>
      <c r="B112">
        <v>220.77</v>
      </c>
      <c r="C112">
        <v>220.77</v>
      </c>
    </row>
    <row r="113" spans="1:3" x14ac:dyDescent="0.3">
      <c r="A113">
        <v>3</v>
      </c>
      <c r="B113">
        <v>309.22000000000003</v>
      </c>
      <c r="C113">
        <v>927.66000000000008</v>
      </c>
    </row>
    <row r="114" spans="1:3" x14ac:dyDescent="0.3">
      <c r="A114">
        <v>1</v>
      </c>
      <c r="B114">
        <v>410.6</v>
      </c>
      <c r="C114">
        <v>410.6</v>
      </c>
    </row>
    <row r="115" spans="1:3" x14ac:dyDescent="0.3">
      <c r="A115">
        <v>5</v>
      </c>
      <c r="B115">
        <v>190.08</v>
      </c>
      <c r="C115">
        <v>950.40000000000009</v>
      </c>
    </row>
    <row r="116" spans="1:3" x14ac:dyDescent="0.3">
      <c r="A116">
        <v>5</v>
      </c>
      <c r="B116">
        <v>498.48</v>
      </c>
      <c r="C116">
        <v>2492.4</v>
      </c>
    </row>
    <row r="117" spans="1:3" x14ac:dyDescent="0.3">
      <c r="A117">
        <v>5</v>
      </c>
      <c r="B117">
        <v>374.99</v>
      </c>
      <c r="C117">
        <v>1874.95</v>
      </c>
    </row>
    <row r="118" spans="1:3" x14ac:dyDescent="0.3">
      <c r="A118">
        <v>4</v>
      </c>
      <c r="B118">
        <v>291.35000000000002</v>
      </c>
      <c r="C118">
        <v>1165.4000000000001</v>
      </c>
    </row>
    <row r="119" spans="1:3" x14ac:dyDescent="0.3">
      <c r="A119">
        <v>1</v>
      </c>
      <c r="B119">
        <v>535.5</v>
      </c>
      <c r="C119">
        <v>535.5</v>
      </c>
    </row>
    <row r="120" spans="1:3" x14ac:dyDescent="0.3">
      <c r="A120">
        <v>5</v>
      </c>
      <c r="B120">
        <v>502.71</v>
      </c>
      <c r="C120">
        <v>2513.5500000000002</v>
      </c>
    </row>
    <row r="121" spans="1:3" x14ac:dyDescent="0.3">
      <c r="A121">
        <v>2</v>
      </c>
      <c r="B121">
        <v>534.66999999999996</v>
      </c>
      <c r="C121">
        <v>1069.3399999999999</v>
      </c>
    </row>
    <row r="122" spans="1:3" x14ac:dyDescent="0.3">
      <c r="A122">
        <v>4</v>
      </c>
      <c r="B122">
        <v>629.34</v>
      </c>
      <c r="C122">
        <v>2517.36</v>
      </c>
    </row>
    <row r="123" spans="1:3" x14ac:dyDescent="0.3">
      <c r="A123">
        <v>1</v>
      </c>
      <c r="B123">
        <v>410.78</v>
      </c>
      <c r="C123">
        <v>410.78</v>
      </c>
    </row>
    <row r="124" spans="1:3" x14ac:dyDescent="0.3">
      <c r="A124">
        <v>2</v>
      </c>
      <c r="B124">
        <v>533.02</v>
      </c>
      <c r="C124">
        <v>1066.04</v>
      </c>
    </row>
    <row r="125" spans="1:3" x14ac:dyDescent="0.3">
      <c r="A125">
        <v>3</v>
      </c>
      <c r="B125">
        <v>278.04000000000002</v>
      </c>
      <c r="C125">
        <v>834.12000000000012</v>
      </c>
    </row>
    <row r="126" spans="1:3" x14ac:dyDescent="0.3">
      <c r="A126">
        <v>4</v>
      </c>
      <c r="B126">
        <v>283.79000000000002</v>
      </c>
      <c r="C126">
        <v>1135.1600000000001</v>
      </c>
    </row>
    <row r="127" spans="1:3" x14ac:dyDescent="0.3">
      <c r="A127">
        <v>2</v>
      </c>
      <c r="B127">
        <v>512.65</v>
      </c>
      <c r="C127">
        <v>1025.3</v>
      </c>
    </row>
    <row r="128" spans="1:3" x14ac:dyDescent="0.3">
      <c r="A128">
        <v>4</v>
      </c>
      <c r="B128">
        <v>275.5</v>
      </c>
      <c r="C128">
        <v>1102</v>
      </c>
    </row>
    <row r="129" spans="1:3" x14ac:dyDescent="0.3">
      <c r="A129">
        <v>3</v>
      </c>
      <c r="B129">
        <v>469.32</v>
      </c>
      <c r="C129">
        <v>1407.96</v>
      </c>
    </row>
    <row r="130" spans="1:3" x14ac:dyDescent="0.3">
      <c r="A130">
        <v>4</v>
      </c>
      <c r="B130">
        <v>21.07</v>
      </c>
      <c r="C130">
        <v>84.28</v>
      </c>
    </row>
    <row r="131" spans="1:3" x14ac:dyDescent="0.3">
      <c r="A131">
        <v>4</v>
      </c>
      <c r="B131">
        <v>263.93</v>
      </c>
      <c r="C131">
        <v>1055.72</v>
      </c>
    </row>
    <row r="132" spans="1:3" x14ac:dyDescent="0.3">
      <c r="A132">
        <v>3</v>
      </c>
      <c r="B132">
        <v>501.3</v>
      </c>
      <c r="C132">
        <v>1503.9</v>
      </c>
    </row>
    <row r="133" spans="1:3" x14ac:dyDescent="0.3">
      <c r="A133">
        <v>1</v>
      </c>
      <c r="B133">
        <v>84.8</v>
      </c>
      <c r="C133">
        <v>84.8</v>
      </c>
    </row>
    <row r="134" spans="1:3" x14ac:dyDescent="0.3">
      <c r="A134">
        <v>4</v>
      </c>
      <c r="B134">
        <v>450.75</v>
      </c>
      <c r="C134">
        <v>1803</v>
      </c>
    </row>
    <row r="135" spans="1:3" x14ac:dyDescent="0.3">
      <c r="A135">
        <v>4</v>
      </c>
      <c r="B135">
        <v>302.05</v>
      </c>
      <c r="C135">
        <v>1208.2</v>
      </c>
    </row>
    <row r="136" spans="1:3" x14ac:dyDescent="0.3">
      <c r="A136">
        <v>2</v>
      </c>
      <c r="B136">
        <v>199.7</v>
      </c>
      <c r="C136">
        <v>399.4</v>
      </c>
    </row>
    <row r="137" spans="1:3" x14ac:dyDescent="0.3">
      <c r="A137">
        <v>2</v>
      </c>
      <c r="B137">
        <v>68.81</v>
      </c>
      <c r="C137">
        <v>137.62</v>
      </c>
    </row>
    <row r="138" spans="1:3" x14ac:dyDescent="0.3">
      <c r="A138">
        <v>1</v>
      </c>
      <c r="B138">
        <v>44.35</v>
      </c>
      <c r="C138">
        <v>44.35</v>
      </c>
    </row>
    <row r="139" spans="1:3" x14ac:dyDescent="0.3">
      <c r="A139">
        <v>2</v>
      </c>
      <c r="B139">
        <v>250.98</v>
      </c>
      <c r="C139">
        <v>501.96</v>
      </c>
    </row>
    <row r="140" spans="1:3" x14ac:dyDescent="0.3">
      <c r="A140">
        <v>1</v>
      </c>
      <c r="B140">
        <v>298.06</v>
      </c>
      <c r="C140">
        <v>298.06</v>
      </c>
    </row>
    <row r="141" spans="1:3" x14ac:dyDescent="0.3">
      <c r="A141">
        <v>1</v>
      </c>
      <c r="B141">
        <v>583.9</v>
      </c>
      <c r="C141">
        <v>583.9</v>
      </c>
    </row>
    <row r="142" spans="1:3" x14ac:dyDescent="0.3">
      <c r="A142">
        <v>3</v>
      </c>
      <c r="B142">
        <v>528.14</v>
      </c>
      <c r="C142">
        <v>1584.42</v>
      </c>
    </row>
    <row r="143" spans="1:3" x14ac:dyDescent="0.3">
      <c r="A143">
        <v>3</v>
      </c>
      <c r="B143">
        <v>684.14</v>
      </c>
      <c r="C143">
        <v>2052.42</v>
      </c>
    </row>
    <row r="144" spans="1:3" x14ac:dyDescent="0.3">
      <c r="A144">
        <v>5</v>
      </c>
      <c r="B144">
        <v>272.77</v>
      </c>
      <c r="C144">
        <v>1363.85</v>
      </c>
    </row>
    <row r="145" spans="1:3" x14ac:dyDescent="0.3">
      <c r="A145">
        <v>4</v>
      </c>
      <c r="B145">
        <v>400.07</v>
      </c>
      <c r="C145">
        <v>1600.28</v>
      </c>
    </row>
    <row r="146" spans="1:3" x14ac:dyDescent="0.3">
      <c r="A146">
        <v>5</v>
      </c>
      <c r="B146">
        <v>219.78</v>
      </c>
      <c r="C146">
        <v>1098.9000000000001</v>
      </c>
    </row>
    <row r="147" spans="1:3" x14ac:dyDescent="0.3">
      <c r="A147">
        <v>3</v>
      </c>
      <c r="B147">
        <v>146.91</v>
      </c>
      <c r="C147">
        <v>440.73</v>
      </c>
    </row>
    <row r="148" spans="1:3" x14ac:dyDescent="0.3">
      <c r="A148">
        <v>2</v>
      </c>
      <c r="B148">
        <v>411.49</v>
      </c>
      <c r="C148">
        <v>822.98</v>
      </c>
    </row>
    <row r="149" spans="1:3" x14ac:dyDescent="0.3">
      <c r="A149">
        <v>2</v>
      </c>
      <c r="B149">
        <v>465.18</v>
      </c>
      <c r="C149">
        <v>930.36</v>
      </c>
    </row>
    <row r="150" spans="1:3" x14ac:dyDescent="0.3">
      <c r="A150">
        <v>2</v>
      </c>
      <c r="B150">
        <v>319.91000000000003</v>
      </c>
      <c r="C150">
        <v>639.82000000000005</v>
      </c>
    </row>
    <row r="151" spans="1:3" x14ac:dyDescent="0.3">
      <c r="A151">
        <v>1</v>
      </c>
      <c r="B151">
        <v>217.56</v>
      </c>
      <c r="C151">
        <v>217.56</v>
      </c>
    </row>
    <row r="152" spans="1:3" x14ac:dyDescent="0.3">
      <c r="A152">
        <v>2</v>
      </c>
      <c r="B152">
        <v>105.57</v>
      </c>
      <c r="C152">
        <v>211.14</v>
      </c>
    </row>
    <row r="153" spans="1:3" x14ac:dyDescent="0.3">
      <c r="A153">
        <v>5</v>
      </c>
      <c r="B153">
        <v>444.76</v>
      </c>
      <c r="C153">
        <v>2223.8000000000002</v>
      </c>
    </row>
    <row r="154" spans="1:3" x14ac:dyDescent="0.3">
      <c r="A154">
        <v>2</v>
      </c>
      <c r="B154">
        <v>399.04</v>
      </c>
      <c r="C154">
        <v>798.08</v>
      </c>
    </row>
    <row r="155" spans="1:3" x14ac:dyDescent="0.3">
      <c r="A155">
        <v>4</v>
      </c>
      <c r="B155">
        <v>534.48</v>
      </c>
      <c r="C155">
        <v>2137.92</v>
      </c>
    </row>
    <row r="156" spans="1:3" x14ac:dyDescent="0.3">
      <c r="A156">
        <v>4</v>
      </c>
      <c r="B156">
        <v>408.21</v>
      </c>
      <c r="C156">
        <v>1632.84</v>
      </c>
    </row>
    <row r="157" spans="1:3" x14ac:dyDescent="0.3">
      <c r="A157">
        <v>1</v>
      </c>
      <c r="B157">
        <v>424.4</v>
      </c>
      <c r="C157">
        <v>424.4</v>
      </c>
    </row>
    <row r="158" spans="1:3" x14ac:dyDescent="0.3">
      <c r="A158">
        <v>2</v>
      </c>
      <c r="B158">
        <v>269.83</v>
      </c>
      <c r="C158">
        <v>539.66</v>
      </c>
    </row>
    <row r="159" spans="1:3" x14ac:dyDescent="0.3">
      <c r="A159">
        <v>2</v>
      </c>
      <c r="B159">
        <v>564.58000000000004</v>
      </c>
      <c r="C159">
        <v>1129.1600000000001</v>
      </c>
    </row>
    <row r="160" spans="1:3" x14ac:dyDescent="0.3">
      <c r="A160">
        <v>1</v>
      </c>
      <c r="B160">
        <v>331.06</v>
      </c>
      <c r="C160">
        <v>331.06</v>
      </c>
    </row>
    <row r="161" spans="1:3" x14ac:dyDescent="0.3">
      <c r="A161">
        <v>1</v>
      </c>
      <c r="B161">
        <v>299.35000000000002</v>
      </c>
      <c r="C161">
        <v>299.35000000000002</v>
      </c>
    </row>
    <row r="162" spans="1:3" x14ac:dyDescent="0.3">
      <c r="A162">
        <v>4</v>
      </c>
      <c r="B162">
        <v>101.32</v>
      </c>
      <c r="C162">
        <v>405.28</v>
      </c>
    </row>
    <row r="163" spans="1:3" x14ac:dyDescent="0.3">
      <c r="A163">
        <v>1</v>
      </c>
      <c r="B163">
        <v>211.14</v>
      </c>
      <c r="C163">
        <v>211.14</v>
      </c>
    </row>
    <row r="164" spans="1:3" x14ac:dyDescent="0.3">
      <c r="A164">
        <v>3</v>
      </c>
      <c r="B164">
        <v>65.86</v>
      </c>
      <c r="C164">
        <v>197.58</v>
      </c>
    </row>
    <row r="165" spans="1:3" x14ac:dyDescent="0.3">
      <c r="A165">
        <v>1</v>
      </c>
      <c r="B165">
        <v>641.39</v>
      </c>
      <c r="C165">
        <v>641.39</v>
      </c>
    </row>
    <row r="166" spans="1:3" x14ac:dyDescent="0.3">
      <c r="A166">
        <v>5</v>
      </c>
      <c r="B166">
        <v>536.58000000000004</v>
      </c>
      <c r="C166">
        <v>2682.9</v>
      </c>
    </row>
    <row r="167" spans="1:3" x14ac:dyDescent="0.3">
      <c r="A167">
        <v>2</v>
      </c>
      <c r="B167">
        <v>500.29</v>
      </c>
      <c r="C167">
        <v>1000.58</v>
      </c>
    </row>
    <row r="168" spans="1:3" x14ac:dyDescent="0.3">
      <c r="A168">
        <v>3</v>
      </c>
      <c r="B168">
        <v>86.29</v>
      </c>
      <c r="C168">
        <v>258.87</v>
      </c>
    </row>
    <row r="169" spans="1:3" x14ac:dyDescent="0.3">
      <c r="A169">
        <v>2</v>
      </c>
      <c r="B169">
        <v>384.14</v>
      </c>
      <c r="C169">
        <v>768.28</v>
      </c>
    </row>
    <row r="170" spans="1:3" x14ac:dyDescent="0.3">
      <c r="A170">
        <v>1</v>
      </c>
      <c r="B170">
        <v>594.96</v>
      </c>
      <c r="C170">
        <v>594.96</v>
      </c>
    </row>
    <row r="171" spans="1:3" x14ac:dyDescent="0.3">
      <c r="A171">
        <v>1</v>
      </c>
      <c r="B171">
        <v>427.82</v>
      </c>
      <c r="C171">
        <v>427.82</v>
      </c>
    </row>
    <row r="172" spans="1:3" x14ac:dyDescent="0.3">
      <c r="A172">
        <v>4</v>
      </c>
      <c r="B172">
        <v>662.94</v>
      </c>
      <c r="C172">
        <v>2651.76</v>
      </c>
    </row>
    <row r="173" spans="1:3" x14ac:dyDescent="0.3">
      <c r="A173">
        <v>2</v>
      </c>
      <c r="B173">
        <v>148.22</v>
      </c>
      <c r="C173">
        <v>296.44</v>
      </c>
    </row>
    <row r="174" spans="1:3" x14ac:dyDescent="0.3">
      <c r="A174">
        <v>1</v>
      </c>
      <c r="B174">
        <v>254.12</v>
      </c>
      <c r="C174">
        <v>254.12</v>
      </c>
    </row>
    <row r="175" spans="1:3" x14ac:dyDescent="0.3">
      <c r="A175">
        <v>3</v>
      </c>
      <c r="B175">
        <v>664.46</v>
      </c>
      <c r="C175">
        <v>1993.38</v>
      </c>
    </row>
    <row r="176" spans="1:3" x14ac:dyDescent="0.3">
      <c r="A176">
        <v>4</v>
      </c>
      <c r="B176">
        <v>600.80999999999995</v>
      </c>
      <c r="C176">
        <v>2403.2399999999998</v>
      </c>
    </row>
    <row r="177" spans="1:3" x14ac:dyDescent="0.3">
      <c r="A177">
        <v>5</v>
      </c>
      <c r="B177">
        <v>68.34</v>
      </c>
      <c r="C177">
        <v>341.7</v>
      </c>
    </row>
    <row r="178" spans="1:3" x14ac:dyDescent="0.3">
      <c r="A178">
        <v>4</v>
      </c>
      <c r="B178">
        <v>430.83</v>
      </c>
      <c r="C178">
        <v>1723.32</v>
      </c>
    </row>
    <row r="179" spans="1:3" x14ac:dyDescent="0.3">
      <c r="A179">
        <v>5</v>
      </c>
      <c r="B179">
        <v>431.69</v>
      </c>
      <c r="C179">
        <v>2158.4499999999998</v>
      </c>
    </row>
    <row r="180" spans="1:3" x14ac:dyDescent="0.3">
      <c r="A180">
        <v>4</v>
      </c>
      <c r="B180">
        <v>512.05999999999995</v>
      </c>
      <c r="C180">
        <v>2048.2399999999998</v>
      </c>
    </row>
    <row r="181" spans="1:3" x14ac:dyDescent="0.3">
      <c r="A181">
        <v>3</v>
      </c>
      <c r="B181">
        <v>539.91</v>
      </c>
      <c r="C181">
        <v>1619.73</v>
      </c>
    </row>
    <row r="182" spans="1:3" x14ac:dyDescent="0.3">
      <c r="A182">
        <v>5</v>
      </c>
      <c r="B182">
        <v>316.07</v>
      </c>
      <c r="C182">
        <v>1580.35</v>
      </c>
    </row>
    <row r="183" spans="1:3" x14ac:dyDescent="0.3">
      <c r="A183">
        <v>5</v>
      </c>
      <c r="B183">
        <v>404.39</v>
      </c>
      <c r="C183">
        <v>2021.95</v>
      </c>
    </row>
    <row r="184" spans="1:3" x14ac:dyDescent="0.3">
      <c r="A184">
        <v>1</v>
      </c>
      <c r="B184">
        <v>600.54</v>
      </c>
      <c r="C184">
        <v>600.54</v>
      </c>
    </row>
    <row r="185" spans="1:3" x14ac:dyDescent="0.3">
      <c r="A185">
        <v>5</v>
      </c>
      <c r="B185">
        <v>186.28</v>
      </c>
      <c r="C185">
        <v>931.4</v>
      </c>
    </row>
    <row r="186" spans="1:3" x14ac:dyDescent="0.3">
      <c r="A186">
        <v>4</v>
      </c>
      <c r="B186">
        <v>214.54</v>
      </c>
      <c r="C186">
        <v>858.16</v>
      </c>
    </row>
    <row r="187" spans="1:3" x14ac:dyDescent="0.3">
      <c r="A187">
        <v>1</v>
      </c>
      <c r="B187">
        <v>210.7</v>
      </c>
      <c r="C187">
        <v>210.7</v>
      </c>
    </row>
    <row r="188" spans="1:3" x14ac:dyDescent="0.3">
      <c r="A188">
        <v>2</v>
      </c>
      <c r="B188">
        <v>133.55000000000001</v>
      </c>
      <c r="C188">
        <v>267.10000000000002</v>
      </c>
    </row>
    <row r="189" spans="1:3" x14ac:dyDescent="0.3">
      <c r="A189">
        <v>1</v>
      </c>
      <c r="B189">
        <v>590.87</v>
      </c>
      <c r="C189">
        <v>590.87</v>
      </c>
    </row>
    <row r="190" spans="1:3" x14ac:dyDescent="0.3">
      <c r="A190">
        <v>2</v>
      </c>
      <c r="B190">
        <v>363.91</v>
      </c>
      <c r="C190">
        <v>727.82</v>
      </c>
    </row>
    <row r="191" spans="1:3" x14ac:dyDescent="0.3">
      <c r="A191">
        <v>5</v>
      </c>
      <c r="B191">
        <v>429.45</v>
      </c>
      <c r="C191">
        <v>2147.25</v>
      </c>
    </row>
    <row r="192" spans="1:3" x14ac:dyDescent="0.3">
      <c r="A192">
        <v>3</v>
      </c>
      <c r="B192">
        <v>223.7</v>
      </c>
      <c r="C192">
        <v>671.09999999999991</v>
      </c>
    </row>
    <row r="193" spans="1:3" x14ac:dyDescent="0.3">
      <c r="A193">
        <v>2</v>
      </c>
      <c r="B193">
        <v>488.87</v>
      </c>
      <c r="C193">
        <v>977.74</v>
      </c>
    </row>
    <row r="194" spans="1:3" x14ac:dyDescent="0.3">
      <c r="A194">
        <v>1</v>
      </c>
      <c r="B194">
        <v>645.46</v>
      </c>
      <c r="C194">
        <v>645.46</v>
      </c>
    </row>
    <row r="195" spans="1:3" x14ac:dyDescent="0.3">
      <c r="A195">
        <v>1</v>
      </c>
      <c r="B195">
        <v>46.66</v>
      </c>
      <c r="C195">
        <v>46.66</v>
      </c>
    </row>
    <row r="196" spans="1:3" x14ac:dyDescent="0.3">
      <c r="A196">
        <v>1</v>
      </c>
      <c r="B196">
        <v>249.57</v>
      </c>
      <c r="C196">
        <v>249.57</v>
      </c>
    </row>
    <row r="197" spans="1:3" x14ac:dyDescent="0.3">
      <c r="A197">
        <v>3</v>
      </c>
      <c r="B197">
        <v>619.21</v>
      </c>
      <c r="C197">
        <v>1857.63</v>
      </c>
    </row>
    <row r="198" spans="1:3" x14ac:dyDescent="0.3">
      <c r="A198">
        <v>4</v>
      </c>
      <c r="B198">
        <v>217.13</v>
      </c>
      <c r="C198">
        <v>868.52</v>
      </c>
    </row>
    <row r="199" spans="1:3" x14ac:dyDescent="0.3">
      <c r="A199">
        <v>5</v>
      </c>
      <c r="B199">
        <v>221.51</v>
      </c>
      <c r="C199">
        <v>1107.55</v>
      </c>
    </row>
    <row r="200" spans="1:3" x14ac:dyDescent="0.3">
      <c r="A200">
        <v>4</v>
      </c>
      <c r="B200">
        <v>340.3</v>
      </c>
      <c r="C200">
        <v>1361.2</v>
      </c>
    </row>
    <row r="201" spans="1:3" x14ac:dyDescent="0.3">
      <c r="A201">
        <v>1</v>
      </c>
      <c r="B201">
        <v>625</v>
      </c>
      <c r="C201">
        <v>625</v>
      </c>
    </row>
    <row r="202" spans="1:3" x14ac:dyDescent="0.3">
      <c r="A202">
        <v>5</v>
      </c>
      <c r="B202">
        <v>433.26</v>
      </c>
      <c r="C202">
        <v>2166.3000000000002</v>
      </c>
    </row>
    <row r="203" spans="1:3" x14ac:dyDescent="0.3">
      <c r="A203">
        <v>2</v>
      </c>
      <c r="B203">
        <v>674.9</v>
      </c>
      <c r="C203">
        <v>1349.8</v>
      </c>
    </row>
    <row r="204" spans="1:3" x14ac:dyDescent="0.3">
      <c r="A204">
        <v>3</v>
      </c>
      <c r="B204">
        <v>253.98</v>
      </c>
      <c r="C204">
        <v>761.93999999999994</v>
      </c>
    </row>
    <row r="205" spans="1:3" x14ac:dyDescent="0.3">
      <c r="A205">
        <v>3</v>
      </c>
      <c r="B205">
        <v>356.84</v>
      </c>
      <c r="C205">
        <v>1070.52</v>
      </c>
    </row>
    <row r="206" spans="1:3" x14ac:dyDescent="0.3">
      <c r="A206">
        <v>4</v>
      </c>
      <c r="B206">
        <v>413.71</v>
      </c>
      <c r="C206">
        <v>1654.84</v>
      </c>
    </row>
    <row r="207" spans="1:3" x14ac:dyDescent="0.3">
      <c r="A207">
        <v>3</v>
      </c>
      <c r="B207">
        <v>147.38999999999999</v>
      </c>
      <c r="C207">
        <v>442.17</v>
      </c>
    </row>
    <row r="208" spans="1:3" x14ac:dyDescent="0.3">
      <c r="A208">
        <v>4</v>
      </c>
      <c r="B208">
        <v>229.1</v>
      </c>
      <c r="C208">
        <v>916.4</v>
      </c>
    </row>
    <row r="209" spans="1:3" x14ac:dyDescent="0.3">
      <c r="A209">
        <v>1</v>
      </c>
      <c r="B209">
        <v>121.96</v>
      </c>
      <c r="C209">
        <v>121.96</v>
      </c>
    </row>
    <row r="210" spans="1:3" x14ac:dyDescent="0.3">
      <c r="A210">
        <v>2</v>
      </c>
      <c r="B210">
        <v>408.32</v>
      </c>
      <c r="C210">
        <v>816.64</v>
      </c>
    </row>
    <row r="211" spans="1:3" x14ac:dyDescent="0.3">
      <c r="A211">
        <v>5</v>
      </c>
      <c r="B211">
        <v>187.97</v>
      </c>
      <c r="C211">
        <v>939.85</v>
      </c>
    </row>
    <row r="212" spans="1:3" x14ac:dyDescent="0.3">
      <c r="A212">
        <v>3</v>
      </c>
      <c r="B212">
        <v>358.48</v>
      </c>
      <c r="C212">
        <v>1075.44</v>
      </c>
    </row>
    <row r="213" spans="1:3" x14ac:dyDescent="0.3">
      <c r="A213">
        <v>3</v>
      </c>
      <c r="B213">
        <v>193.58</v>
      </c>
      <c r="C213">
        <v>580.74</v>
      </c>
    </row>
    <row r="214" spans="1:3" x14ac:dyDescent="0.3">
      <c r="A214">
        <v>1</v>
      </c>
      <c r="B214">
        <v>265.38</v>
      </c>
      <c r="C214">
        <v>265.38</v>
      </c>
    </row>
    <row r="215" spans="1:3" x14ac:dyDescent="0.3">
      <c r="A215">
        <v>1</v>
      </c>
      <c r="B215">
        <v>634.4</v>
      </c>
      <c r="C215">
        <v>634.4</v>
      </c>
    </row>
    <row r="216" spans="1:3" x14ac:dyDescent="0.3">
      <c r="A216">
        <v>4</v>
      </c>
      <c r="B216">
        <v>305.72000000000003</v>
      </c>
      <c r="C216">
        <v>1222.8800000000001</v>
      </c>
    </row>
    <row r="217" spans="1:3" x14ac:dyDescent="0.3">
      <c r="A217">
        <v>1</v>
      </c>
      <c r="B217">
        <v>303.60000000000002</v>
      </c>
      <c r="C217">
        <v>303.60000000000002</v>
      </c>
    </row>
    <row r="218" spans="1:3" x14ac:dyDescent="0.3">
      <c r="A218">
        <v>4</v>
      </c>
      <c r="B218">
        <v>496</v>
      </c>
      <c r="C218">
        <v>1984</v>
      </c>
    </row>
    <row r="219" spans="1:3" x14ac:dyDescent="0.3">
      <c r="A219">
        <v>4</v>
      </c>
      <c r="B219">
        <v>321.51</v>
      </c>
      <c r="C219">
        <v>1286.04</v>
      </c>
    </row>
    <row r="220" spans="1:3" x14ac:dyDescent="0.3">
      <c r="A220">
        <v>3</v>
      </c>
      <c r="B220">
        <v>112.46</v>
      </c>
      <c r="C220">
        <v>337.38</v>
      </c>
    </row>
    <row r="221" spans="1:3" x14ac:dyDescent="0.3">
      <c r="A221">
        <v>5</v>
      </c>
      <c r="B221">
        <v>61.97</v>
      </c>
      <c r="C221">
        <v>309.85000000000002</v>
      </c>
    </row>
    <row r="222" spans="1:3" x14ac:dyDescent="0.3">
      <c r="A222">
        <v>2</v>
      </c>
      <c r="B222">
        <v>373.17</v>
      </c>
      <c r="C222">
        <v>746.34</v>
      </c>
    </row>
    <row r="223" spans="1:3" x14ac:dyDescent="0.3">
      <c r="A223">
        <v>5</v>
      </c>
      <c r="B223">
        <v>639.37</v>
      </c>
      <c r="C223">
        <v>3196.85</v>
      </c>
    </row>
    <row r="224" spans="1:3" x14ac:dyDescent="0.3">
      <c r="A224">
        <v>4</v>
      </c>
      <c r="B224">
        <v>693.36</v>
      </c>
      <c r="C224">
        <v>2773.44</v>
      </c>
    </row>
    <row r="225" spans="1:3" x14ac:dyDescent="0.3">
      <c r="A225">
        <v>4</v>
      </c>
      <c r="B225">
        <v>692.91</v>
      </c>
      <c r="C225">
        <v>2771.64</v>
      </c>
    </row>
    <row r="226" spans="1:3" x14ac:dyDescent="0.3">
      <c r="A226">
        <v>4</v>
      </c>
      <c r="B226">
        <v>91.46</v>
      </c>
      <c r="C226">
        <v>365.84</v>
      </c>
    </row>
    <row r="227" spans="1:3" x14ac:dyDescent="0.3">
      <c r="A227">
        <v>3</v>
      </c>
      <c r="B227">
        <v>273.95999999999998</v>
      </c>
      <c r="C227">
        <v>821.87999999999988</v>
      </c>
    </row>
    <row r="228" spans="1:3" x14ac:dyDescent="0.3">
      <c r="A228">
        <v>3</v>
      </c>
      <c r="B228">
        <v>588.04999999999995</v>
      </c>
      <c r="C228">
        <v>1764.15</v>
      </c>
    </row>
    <row r="229" spans="1:3" x14ac:dyDescent="0.3">
      <c r="A229">
        <v>2</v>
      </c>
      <c r="B229">
        <v>365.17</v>
      </c>
      <c r="C229">
        <v>730.34</v>
      </c>
    </row>
    <row r="230" spans="1:3" x14ac:dyDescent="0.3">
      <c r="A230">
        <v>4</v>
      </c>
      <c r="B230">
        <v>385.92</v>
      </c>
      <c r="C230">
        <v>1543.68</v>
      </c>
    </row>
    <row r="231" spans="1:3" x14ac:dyDescent="0.3">
      <c r="A231">
        <v>1</v>
      </c>
      <c r="B231">
        <v>562.61</v>
      </c>
      <c r="C231">
        <v>562.61</v>
      </c>
    </row>
    <row r="232" spans="1:3" x14ac:dyDescent="0.3">
      <c r="A232">
        <v>4</v>
      </c>
      <c r="B232">
        <v>61.91</v>
      </c>
      <c r="C232">
        <v>247.64</v>
      </c>
    </row>
    <row r="233" spans="1:3" x14ac:dyDescent="0.3">
      <c r="A233">
        <v>4</v>
      </c>
      <c r="B233">
        <v>41.9</v>
      </c>
      <c r="C233">
        <v>167.6</v>
      </c>
    </row>
    <row r="234" spans="1:3" x14ac:dyDescent="0.3">
      <c r="A234">
        <v>4</v>
      </c>
      <c r="B234">
        <v>444.44</v>
      </c>
      <c r="C234">
        <v>1777.76</v>
      </c>
    </row>
    <row r="235" spans="1:3" x14ac:dyDescent="0.3">
      <c r="A235">
        <v>3</v>
      </c>
      <c r="B235">
        <v>311.33</v>
      </c>
      <c r="C235">
        <v>933.99</v>
      </c>
    </row>
    <row r="236" spans="1:3" x14ac:dyDescent="0.3">
      <c r="A236">
        <v>4</v>
      </c>
      <c r="B236">
        <v>236.41</v>
      </c>
      <c r="C236">
        <v>945.64</v>
      </c>
    </row>
    <row r="237" spans="1:3" x14ac:dyDescent="0.3">
      <c r="A237">
        <v>1</v>
      </c>
      <c r="B237">
        <v>65.45</v>
      </c>
      <c r="C237">
        <v>65.45</v>
      </c>
    </row>
    <row r="238" spans="1:3" x14ac:dyDescent="0.3">
      <c r="A238">
        <v>1</v>
      </c>
      <c r="B238">
        <v>318.81</v>
      </c>
      <c r="C238">
        <v>318.81</v>
      </c>
    </row>
    <row r="239" spans="1:3" x14ac:dyDescent="0.3">
      <c r="A239">
        <v>3</v>
      </c>
      <c r="B239">
        <v>583.72</v>
      </c>
      <c r="C239">
        <v>1751.16</v>
      </c>
    </row>
    <row r="240" spans="1:3" x14ac:dyDescent="0.3">
      <c r="A240">
        <v>4</v>
      </c>
      <c r="B240">
        <v>384.32</v>
      </c>
      <c r="C240">
        <v>1537.28</v>
      </c>
    </row>
    <row r="241" spans="1:3" x14ac:dyDescent="0.3">
      <c r="A241">
        <v>3</v>
      </c>
      <c r="B241">
        <v>538.74</v>
      </c>
      <c r="C241">
        <v>1616.22</v>
      </c>
    </row>
    <row r="242" spans="1:3" x14ac:dyDescent="0.3">
      <c r="A242">
        <v>1</v>
      </c>
      <c r="B242">
        <v>17.239999999999998</v>
      </c>
      <c r="C242">
        <v>17.239999999999998</v>
      </c>
    </row>
    <row r="243" spans="1:3" x14ac:dyDescent="0.3">
      <c r="A243">
        <v>5</v>
      </c>
      <c r="B243">
        <v>615.66999999999996</v>
      </c>
      <c r="C243">
        <v>3078.35</v>
      </c>
    </row>
    <row r="244" spans="1:3" x14ac:dyDescent="0.3">
      <c r="A244">
        <v>2</v>
      </c>
      <c r="B244">
        <v>219.1</v>
      </c>
      <c r="C244">
        <v>438.2</v>
      </c>
    </row>
    <row r="245" spans="1:3" x14ac:dyDescent="0.3">
      <c r="A245">
        <v>2</v>
      </c>
      <c r="B245">
        <v>144.66</v>
      </c>
      <c r="C245">
        <v>289.32</v>
      </c>
    </row>
    <row r="246" spans="1:3" x14ac:dyDescent="0.3">
      <c r="A246">
        <v>2</v>
      </c>
      <c r="B246">
        <v>317.77</v>
      </c>
      <c r="C246">
        <v>635.54</v>
      </c>
    </row>
    <row r="247" spans="1:3" x14ac:dyDescent="0.3">
      <c r="A247">
        <v>1</v>
      </c>
      <c r="B247">
        <v>223.3</v>
      </c>
      <c r="C247">
        <v>223.3</v>
      </c>
    </row>
    <row r="248" spans="1:3" x14ac:dyDescent="0.3">
      <c r="A248">
        <v>2</v>
      </c>
      <c r="B248">
        <v>342.11</v>
      </c>
      <c r="C248">
        <v>684.22</v>
      </c>
    </row>
    <row r="249" spans="1:3" x14ac:dyDescent="0.3">
      <c r="A249">
        <v>2</v>
      </c>
      <c r="B249">
        <v>220.9</v>
      </c>
      <c r="C249">
        <v>441.8</v>
      </c>
    </row>
    <row r="250" spans="1:3" x14ac:dyDescent="0.3">
      <c r="A250">
        <v>1</v>
      </c>
      <c r="B250">
        <v>670.54</v>
      </c>
      <c r="C250">
        <v>670.54</v>
      </c>
    </row>
    <row r="251" spans="1:3" x14ac:dyDescent="0.3">
      <c r="A251">
        <v>1</v>
      </c>
      <c r="B251">
        <v>546.19000000000005</v>
      </c>
      <c r="C251">
        <v>546.19000000000005</v>
      </c>
    </row>
    <row r="252" spans="1:3" x14ac:dyDescent="0.3">
      <c r="A252">
        <v>3</v>
      </c>
      <c r="B252">
        <v>42.95</v>
      </c>
      <c r="C252">
        <v>128.85</v>
      </c>
    </row>
    <row r="253" spans="1:3" x14ac:dyDescent="0.3">
      <c r="A253">
        <v>4</v>
      </c>
      <c r="B253">
        <v>14.69</v>
      </c>
      <c r="C253">
        <v>58.76</v>
      </c>
    </row>
    <row r="254" spans="1:3" x14ac:dyDescent="0.3">
      <c r="A254">
        <v>4</v>
      </c>
      <c r="B254">
        <v>668.36</v>
      </c>
      <c r="C254">
        <v>2673.44</v>
      </c>
    </row>
    <row r="255" spans="1:3" x14ac:dyDescent="0.3">
      <c r="A255">
        <v>4</v>
      </c>
      <c r="B255">
        <v>413.74</v>
      </c>
      <c r="C255">
        <v>1654.96</v>
      </c>
    </row>
    <row r="256" spans="1:3" x14ac:dyDescent="0.3">
      <c r="A256">
        <v>3</v>
      </c>
      <c r="B256">
        <v>263.19</v>
      </c>
      <c r="C256">
        <v>789.56999999999994</v>
      </c>
    </row>
    <row r="257" spans="1:3" x14ac:dyDescent="0.3">
      <c r="A257">
        <v>1</v>
      </c>
      <c r="B257">
        <v>263.95999999999998</v>
      </c>
      <c r="C257">
        <v>263.95999999999998</v>
      </c>
    </row>
    <row r="258" spans="1:3" x14ac:dyDescent="0.3">
      <c r="A258">
        <v>5</v>
      </c>
      <c r="B258">
        <v>75.81</v>
      </c>
      <c r="C258">
        <v>379.05</v>
      </c>
    </row>
    <row r="259" spans="1:3" x14ac:dyDescent="0.3">
      <c r="A259">
        <v>1</v>
      </c>
      <c r="B259">
        <v>406.22</v>
      </c>
      <c r="C259">
        <v>406.22</v>
      </c>
    </row>
    <row r="260" spans="1:3" x14ac:dyDescent="0.3">
      <c r="A260">
        <v>2</v>
      </c>
      <c r="B260">
        <v>103.41</v>
      </c>
      <c r="C260">
        <v>206.82</v>
      </c>
    </row>
    <row r="261" spans="1:3" x14ac:dyDescent="0.3">
      <c r="A261">
        <v>4</v>
      </c>
      <c r="B261">
        <v>435.12</v>
      </c>
      <c r="C261">
        <v>1740.48</v>
      </c>
    </row>
    <row r="262" spans="1:3" x14ac:dyDescent="0.3">
      <c r="A262">
        <v>2</v>
      </c>
      <c r="B262">
        <v>407.79</v>
      </c>
      <c r="C262">
        <v>815.58</v>
      </c>
    </row>
    <row r="263" spans="1:3" x14ac:dyDescent="0.3">
      <c r="A263">
        <v>5</v>
      </c>
      <c r="B263">
        <v>173.65</v>
      </c>
      <c r="C263">
        <v>868.25</v>
      </c>
    </row>
    <row r="264" spans="1:3" x14ac:dyDescent="0.3">
      <c r="A264">
        <v>4</v>
      </c>
      <c r="B264">
        <v>249.07</v>
      </c>
      <c r="C264">
        <v>996.28</v>
      </c>
    </row>
    <row r="265" spans="1:3" x14ac:dyDescent="0.3">
      <c r="A265">
        <v>4</v>
      </c>
      <c r="B265">
        <v>434.85</v>
      </c>
      <c r="C265">
        <v>1739.4</v>
      </c>
    </row>
    <row r="266" spans="1:3" x14ac:dyDescent="0.3">
      <c r="A266">
        <v>1</v>
      </c>
      <c r="B266">
        <v>436.77</v>
      </c>
      <c r="C266">
        <v>436.77</v>
      </c>
    </row>
    <row r="267" spans="1:3" x14ac:dyDescent="0.3">
      <c r="A267">
        <v>1</v>
      </c>
      <c r="B267">
        <v>572.13</v>
      </c>
      <c r="C267">
        <v>572.13</v>
      </c>
    </row>
    <row r="268" spans="1:3" x14ac:dyDescent="0.3">
      <c r="A268">
        <v>4</v>
      </c>
      <c r="B268">
        <v>583.07000000000005</v>
      </c>
      <c r="C268">
        <v>2332.2800000000002</v>
      </c>
    </row>
    <row r="269" spans="1:3" x14ac:dyDescent="0.3">
      <c r="A269">
        <v>5</v>
      </c>
      <c r="B269">
        <v>468.51</v>
      </c>
      <c r="C269">
        <v>2342.5500000000002</v>
      </c>
    </row>
    <row r="270" spans="1:3" x14ac:dyDescent="0.3">
      <c r="A270">
        <v>2</v>
      </c>
      <c r="B270">
        <v>423.88</v>
      </c>
      <c r="C270">
        <v>847.76</v>
      </c>
    </row>
    <row r="271" spans="1:3" x14ac:dyDescent="0.3">
      <c r="A271">
        <v>4</v>
      </c>
      <c r="B271">
        <v>663.67</v>
      </c>
      <c r="C271">
        <v>2654.68</v>
      </c>
    </row>
    <row r="272" spans="1:3" x14ac:dyDescent="0.3">
      <c r="A272">
        <v>4</v>
      </c>
      <c r="B272">
        <v>309.91000000000003</v>
      </c>
      <c r="C272">
        <v>1239.6400000000001</v>
      </c>
    </row>
    <row r="273" spans="1:3" x14ac:dyDescent="0.3">
      <c r="A273">
        <v>1</v>
      </c>
      <c r="B273">
        <v>542.07000000000005</v>
      </c>
      <c r="C273">
        <v>542.07000000000005</v>
      </c>
    </row>
    <row r="274" spans="1:3" x14ac:dyDescent="0.3">
      <c r="A274">
        <v>2</v>
      </c>
      <c r="B274">
        <v>399.32</v>
      </c>
      <c r="C274">
        <v>798.64</v>
      </c>
    </row>
    <row r="275" spans="1:3" x14ac:dyDescent="0.3">
      <c r="A275">
        <v>2</v>
      </c>
      <c r="B275">
        <v>238.25</v>
      </c>
      <c r="C275">
        <v>476.5</v>
      </c>
    </row>
    <row r="276" spans="1:3" x14ac:dyDescent="0.3">
      <c r="A276">
        <v>2</v>
      </c>
      <c r="B276">
        <v>182.4</v>
      </c>
      <c r="C276">
        <v>364.8</v>
      </c>
    </row>
    <row r="277" spans="1:3" x14ac:dyDescent="0.3">
      <c r="A277">
        <v>2</v>
      </c>
      <c r="B277">
        <v>65.069999999999993</v>
      </c>
      <c r="C277">
        <v>130.13999999999999</v>
      </c>
    </row>
    <row r="278" spans="1:3" x14ac:dyDescent="0.3">
      <c r="A278">
        <v>2</v>
      </c>
      <c r="B278">
        <v>600.57000000000005</v>
      </c>
      <c r="C278">
        <v>1201.1400000000001</v>
      </c>
    </row>
    <row r="279" spans="1:3" x14ac:dyDescent="0.3">
      <c r="A279">
        <v>5</v>
      </c>
      <c r="B279">
        <v>90.92</v>
      </c>
      <c r="C279">
        <v>454.6</v>
      </c>
    </row>
    <row r="280" spans="1:3" x14ac:dyDescent="0.3">
      <c r="A280">
        <v>5</v>
      </c>
      <c r="B280">
        <v>362.46</v>
      </c>
      <c r="C280">
        <v>1812.3</v>
      </c>
    </row>
    <row r="281" spans="1:3" x14ac:dyDescent="0.3">
      <c r="A281">
        <v>3</v>
      </c>
      <c r="B281">
        <v>55.01</v>
      </c>
      <c r="C281">
        <v>165.03</v>
      </c>
    </row>
    <row r="282" spans="1:3" x14ac:dyDescent="0.3">
      <c r="A282">
        <v>3</v>
      </c>
      <c r="B282">
        <v>404.62</v>
      </c>
      <c r="C282">
        <v>1213.8599999999999</v>
      </c>
    </row>
    <row r="283" spans="1:3" x14ac:dyDescent="0.3">
      <c r="A283">
        <v>4</v>
      </c>
      <c r="B283">
        <v>654.79</v>
      </c>
      <c r="C283">
        <v>2619.16</v>
      </c>
    </row>
    <row r="284" spans="1:3" x14ac:dyDescent="0.3">
      <c r="A284">
        <v>4</v>
      </c>
      <c r="B284">
        <v>637.79</v>
      </c>
      <c r="C284">
        <v>2551.16</v>
      </c>
    </row>
    <row r="285" spans="1:3" x14ac:dyDescent="0.3">
      <c r="A285">
        <v>4</v>
      </c>
      <c r="B285">
        <v>540.33000000000004</v>
      </c>
      <c r="C285">
        <v>2161.3200000000002</v>
      </c>
    </row>
    <row r="286" spans="1:3" x14ac:dyDescent="0.3">
      <c r="A286">
        <v>5</v>
      </c>
      <c r="B286">
        <v>208.17</v>
      </c>
      <c r="C286">
        <v>1040.8499999999999</v>
      </c>
    </row>
    <row r="287" spans="1:3" x14ac:dyDescent="0.3">
      <c r="A287">
        <v>1</v>
      </c>
      <c r="B287">
        <v>338.31</v>
      </c>
      <c r="C287">
        <v>338.31</v>
      </c>
    </row>
    <row r="288" spans="1:3" x14ac:dyDescent="0.3">
      <c r="A288">
        <v>3</v>
      </c>
      <c r="B288">
        <v>139.44999999999999</v>
      </c>
      <c r="C288">
        <v>418.35</v>
      </c>
    </row>
    <row r="289" spans="1:3" x14ac:dyDescent="0.3">
      <c r="A289">
        <v>4</v>
      </c>
      <c r="B289">
        <v>655.17999999999995</v>
      </c>
      <c r="C289">
        <v>2620.7199999999998</v>
      </c>
    </row>
    <row r="290" spans="1:3" x14ac:dyDescent="0.3">
      <c r="A290">
        <v>4</v>
      </c>
      <c r="B290">
        <v>512.75</v>
      </c>
      <c r="C290">
        <v>2051</v>
      </c>
    </row>
    <row r="291" spans="1:3" x14ac:dyDescent="0.3">
      <c r="A291">
        <v>4</v>
      </c>
      <c r="B291">
        <v>160.49</v>
      </c>
      <c r="C291">
        <v>641.96</v>
      </c>
    </row>
    <row r="292" spans="1:3" x14ac:dyDescent="0.3">
      <c r="A292">
        <v>3</v>
      </c>
      <c r="B292">
        <v>99.9</v>
      </c>
      <c r="C292">
        <v>299.7</v>
      </c>
    </row>
    <row r="293" spans="1:3" x14ac:dyDescent="0.3">
      <c r="A293">
        <v>2</v>
      </c>
      <c r="B293">
        <v>345.01</v>
      </c>
      <c r="C293">
        <v>690.02</v>
      </c>
    </row>
    <row r="294" spans="1:3" x14ac:dyDescent="0.3">
      <c r="A294">
        <v>1</v>
      </c>
      <c r="B294">
        <v>65.95</v>
      </c>
      <c r="C294">
        <v>65.95</v>
      </c>
    </row>
    <row r="295" spans="1:3" x14ac:dyDescent="0.3">
      <c r="A295">
        <v>4</v>
      </c>
      <c r="B295">
        <v>463.04</v>
      </c>
      <c r="C295">
        <v>1852.16</v>
      </c>
    </row>
    <row r="296" spans="1:3" x14ac:dyDescent="0.3">
      <c r="A296">
        <v>2</v>
      </c>
      <c r="B296">
        <v>297.70999999999998</v>
      </c>
      <c r="C296">
        <v>595.41999999999996</v>
      </c>
    </row>
    <row r="297" spans="1:3" x14ac:dyDescent="0.3">
      <c r="A297">
        <v>5</v>
      </c>
      <c r="B297">
        <v>107.48</v>
      </c>
      <c r="C297">
        <v>537.4</v>
      </c>
    </row>
    <row r="298" spans="1:3" x14ac:dyDescent="0.3">
      <c r="A298">
        <v>5</v>
      </c>
      <c r="B298">
        <v>638.79999999999995</v>
      </c>
      <c r="C298">
        <v>3194</v>
      </c>
    </row>
    <row r="299" spans="1:3" x14ac:dyDescent="0.3">
      <c r="A299">
        <v>2</v>
      </c>
      <c r="B299">
        <v>493.88</v>
      </c>
      <c r="C299">
        <v>987.76</v>
      </c>
    </row>
    <row r="300" spans="1:3" x14ac:dyDescent="0.3">
      <c r="A300">
        <v>4</v>
      </c>
      <c r="B300">
        <v>301.17</v>
      </c>
      <c r="C300">
        <v>1204.68</v>
      </c>
    </row>
    <row r="301" spans="1:3" x14ac:dyDescent="0.3">
      <c r="A301">
        <v>1</v>
      </c>
      <c r="B301">
        <v>278.66000000000003</v>
      </c>
      <c r="C301">
        <v>278.66000000000003</v>
      </c>
    </row>
    <row r="302" spans="1:3" x14ac:dyDescent="0.3">
      <c r="A302">
        <v>1</v>
      </c>
      <c r="B302">
        <v>287.45999999999998</v>
      </c>
      <c r="C302">
        <v>287.45999999999998</v>
      </c>
    </row>
    <row r="303" spans="1:3" x14ac:dyDescent="0.3">
      <c r="A303">
        <v>1</v>
      </c>
      <c r="B303">
        <v>583.99</v>
      </c>
      <c r="C303">
        <v>583.99</v>
      </c>
    </row>
    <row r="304" spans="1:3" x14ac:dyDescent="0.3">
      <c r="A304">
        <v>3</v>
      </c>
      <c r="B304">
        <v>468.74</v>
      </c>
      <c r="C304">
        <v>1406.22</v>
      </c>
    </row>
    <row r="305" spans="1:3" x14ac:dyDescent="0.3">
      <c r="A305">
        <v>1</v>
      </c>
      <c r="B305">
        <v>30.54</v>
      </c>
      <c r="C305">
        <v>30.54</v>
      </c>
    </row>
    <row r="306" spans="1:3" x14ac:dyDescent="0.3">
      <c r="A306">
        <v>5</v>
      </c>
      <c r="B306">
        <v>408.73</v>
      </c>
      <c r="C306">
        <v>2043.65</v>
      </c>
    </row>
    <row r="307" spans="1:3" x14ac:dyDescent="0.3">
      <c r="A307">
        <v>4</v>
      </c>
      <c r="B307">
        <v>126.89</v>
      </c>
      <c r="C307">
        <v>507.56</v>
      </c>
    </row>
    <row r="308" spans="1:3" x14ac:dyDescent="0.3">
      <c r="A308">
        <v>2</v>
      </c>
      <c r="B308">
        <v>57.07</v>
      </c>
      <c r="C308">
        <v>114.14</v>
      </c>
    </row>
    <row r="309" spans="1:3" x14ac:dyDescent="0.3">
      <c r="A309">
        <v>3</v>
      </c>
      <c r="B309">
        <v>557.41</v>
      </c>
      <c r="C309">
        <v>1672.23</v>
      </c>
    </row>
    <row r="310" spans="1:3" x14ac:dyDescent="0.3">
      <c r="A310">
        <v>3</v>
      </c>
      <c r="B310">
        <v>448.9</v>
      </c>
      <c r="C310">
        <v>1346.7</v>
      </c>
    </row>
    <row r="311" spans="1:3" x14ac:dyDescent="0.3">
      <c r="A311">
        <v>4</v>
      </c>
      <c r="B311">
        <v>549.76</v>
      </c>
      <c r="C311">
        <v>2199.04</v>
      </c>
    </row>
    <row r="312" spans="1:3" x14ac:dyDescent="0.3">
      <c r="A312">
        <v>3</v>
      </c>
      <c r="B312">
        <v>132.47999999999999</v>
      </c>
      <c r="C312">
        <v>397.43999999999988</v>
      </c>
    </row>
    <row r="313" spans="1:3" x14ac:dyDescent="0.3">
      <c r="A313">
        <v>5</v>
      </c>
      <c r="B313">
        <v>489.37</v>
      </c>
      <c r="C313">
        <v>2446.85</v>
      </c>
    </row>
    <row r="314" spans="1:3" x14ac:dyDescent="0.3">
      <c r="A314">
        <v>5</v>
      </c>
      <c r="B314">
        <v>66.31</v>
      </c>
      <c r="C314">
        <v>331.55</v>
      </c>
    </row>
    <row r="315" spans="1:3" x14ac:dyDescent="0.3">
      <c r="A315">
        <v>2</v>
      </c>
      <c r="B315">
        <v>434.3</v>
      </c>
      <c r="C315">
        <v>868.6</v>
      </c>
    </row>
    <row r="316" spans="1:3" x14ac:dyDescent="0.3">
      <c r="A316">
        <v>4</v>
      </c>
      <c r="B316">
        <v>153.09</v>
      </c>
      <c r="C316">
        <v>612.36</v>
      </c>
    </row>
    <row r="317" spans="1:3" x14ac:dyDescent="0.3">
      <c r="A317">
        <v>5</v>
      </c>
      <c r="B317">
        <v>91.67</v>
      </c>
      <c r="C317">
        <v>458.35</v>
      </c>
    </row>
    <row r="318" spans="1:3" x14ac:dyDescent="0.3">
      <c r="A318">
        <v>4</v>
      </c>
      <c r="B318">
        <v>275.27999999999997</v>
      </c>
      <c r="C318">
        <v>1101.1199999999999</v>
      </c>
    </row>
    <row r="319" spans="1:3" x14ac:dyDescent="0.3">
      <c r="A319">
        <v>2</v>
      </c>
      <c r="B319">
        <v>139.94999999999999</v>
      </c>
      <c r="C319">
        <v>279.89999999999998</v>
      </c>
    </row>
    <row r="320" spans="1:3" x14ac:dyDescent="0.3">
      <c r="A320">
        <v>3</v>
      </c>
      <c r="B320">
        <v>148.72</v>
      </c>
      <c r="C320">
        <v>446.16</v>
      </c>
    </row>
    <row r="321" spans="1:3" x14ac:dyDescent="0.3">
      <c r="A321">
        <v>2</v>
      </c>
      <c r="B321">
        <v>563.05999999999995</v>
      </c>
      <c r="C321">
        <v>1126.1199999999999</v>
      </c>
    </row>
    <row r="322" spans="1:3" x14ac:dyDescent="0.3">
      <c r="A322">
        <v>1</v>
      </c>
      <c r="B322">
        <v>625.51</v>
      </c>
      <c r="C322">
        <v>625.51</v>
      </c>
    </row>
    <row r="323" spans="1:3" x14ac:dyDescent="0.3">
      <c r="A323">
        <v>4</v>
      </c>
      <c r="B323">
        <v>152.29</v>
      </c>
      <c r="C323">
        <v>609.16</v>
      </c>
    </row>
    <row r="324" spans="1:3" x14ac:dyDescent="0.3">
      <c r="A324">
        <v>5</v>
      </c>
      <c r="B324">
        <v>231.82</v>
      </c>
      <c r="C324">
        <v>1159.0999999999999</v>
      </c>
    </row>
    <row r="325" spans="1:3" x14ac:dyDescent="0.3">
      <c r="A325">
        <v>1</v>
      </c>
      <c r="B325">
        <v>150.16999999999999</v>
      </c>
      <c r="C325">
        <v>150.16999999999999</v>
      </c>
    </row>
    <row r="326" spans="1:3" x14ac:dyDescent="0.3">
      <c r="A326">
        <v>3</v>
      </c>
      <c r="B326">
        <v>70.930000000000007</v>
      </c>
      <c r="C326">
        <v>212.79</v>
      </c>
    </row>
    <row r="327" spans="1:3" x14ac:dyDescent="0.3">
      <c r="A327">
        <v>3</v>
      </c>
      <c r="B327">
        <v>361.39</v>
      </c>
      <c r="C327">
        <v>1084.17</v>
      </c>
    </row>
    <row r="328" spans="1:3" x14ac:dyDescent="0.3">
      <c r="A328">
        <v>5</v>
      </c>
      <c r="B328">
        <v>670.48</v>
      </c>
      <c r="C328">
        <v>3352.4</v>
      </c>
    </row>
    <row r="329" spans="1:3" x14ac:dyDescent="0.3">
      <c r="A329">
        <v>1</v>
      </c>
      <c r="B329">
        <v>359.99</v>
      </c>
      <c r="C329">
        <v>359.99</v>
      </c>
    </row>
    <row r="330" spans="1:3" x14ac:dyDescent="0.3">
      <c r="A330">
        <v>5</v>
      </c>
      <c r="B330">
        <v>674.04</v>
      </c>
      <c r="C330">
        <v>3370.2</v>
      </c>
    </row>
    <row r="331" spans="1:3" x14ac:dyDescent="0.3">
      <c r="A331">
        <v>4</v>
      </c>
      <c r="B331">
        <v>283.16000000000003</v>
      </c>
      <c r="C331">
        <v>1132.6400000000001</v>
      </c>
    </row>
    <row r="332" spans="1:3" x14ac:dyDescent="0.3">
      <c r="A332">
        <v>5</v>
      </c>
      <c r="B332">
        <v>260.52999999999997</v>
      </c>
      <c r="C332">
        <v>1302.6500000000001</v>
      </c>
    </row>
    <row r="333" spans="1:3" x14ac:dyDescent="0.3">
      <c r="A333">
        <v>3</v>
      </c>
      <c r="B333">
        <v>422.13</v>
      </c>
      <c r="C333">
        <v>1266.3900000000001</v>
      </c>
    </row>
    <row r="334" spans="1:3" x14ac:dyDescent="0.3">
      <c r="A334">
        <v>5</v>
      </c>
      <c r="B334">
        <v>125.02</v>
      </c>
      <c r="C334">
        <v>625.1</v>
      </c>
    </row>
    <row r="335" spans="1:3" x14ac:dyDescent="0.3">
      <c r="A335">
        <v>1</v>
      </c>
      <c r="B335">
        <v>198.51</v>
      </c>
      <c r="C335">
        <v>198.51</v>
      </c>
    </row>
    <row r="336" spans="1:3" x14ac:dyDescent="0.3">
      <c r="A336">
        <v>4</v>
      </c>
      <c r="B336">
        <v>224.75</v>
      </c>
      <c r="C336">
        <v>899</v>
      </c>
    </row>
    <row r="337" spans="1:3" x14ac:dyDescent="0.3">
      <c r="A337">
        <v>3</v>
      </c>
      <c r="B337">
        <v>205.86</v>
      </c>
      <c r="C337">
        <v>617.58000000000004</v>
      </c>
    </row>
    <row r="338" spans="1:3" x14ac:dyDescent="0.3">
      <c r="A338">
        <v>1</v>
      </c>
      <c r="B338">
        <v>18.2</v>
      </c>
      <c r="C338">
        <v>18.2</v>
      </c>
    </row>
    <row r="339" spans="1:3" x14ac:dyDescent="0.3">
      <c r="A339">
        <v>3</v>
      </c>
      <c r="B339">
        <v>502.77</v>
      </c>
      <c r="C339">
        <v>1508.31</v>
      </c>
    </row>
    <row r="340" spans="1:3" x14ac:dyDescent="0.3">
      <c r="A340">
        <v>5</v>
      </c>
      <c r="B340">
        <v>305.49</v>
      </c>
      <c r="C340">
        <v>1527.45</v>
      </c>
    </row>
    <row r="341" spans="1:3" x14ac:dyDescent="0.3">
      <c r="A341">
        <v>2</v>
      </c>
      <c r="B341">
        <v>236.33</v>
      </c>
      <c r="C341">
        <v>472.66</v>
      </c>
    </row>
    <row r="342" spans="1:3" x14ac:dyDescent="0.3">
      <c r="A342">
        <v>5</v>
      </c>
      <c r="B342">
        <v>521.25</v>
      </c>
      <c r="C342">
        <v>2606.25</v>
      </c>
    </row>
    <row r="343" spans="1:3" x14ac:dyDescent="0.3">
      <c r="A343">
        <v>1</v>
      </c>
      <c r="B343">
        <v>167.15</v>
      </c>
      <c r="C343">
        <v>167.15</v>
      </c>
    </row>
    <row r="344" spans="1:3" x14ac:dyDescent="0.3">
      <c r="A344">
        <v>5</v>
      </c>
      <c r="B344">
        <v>466.42</v>
      </c>
      <c r="C344">
        <v>2332.1</v>
      </c>
    </row>
    <row r="345" spans="1:3" x14ac:dyDescent="0.3">
      <c r="A345">
        <v>1</v>
      </c>
      <c r="B345">
        <v>527.57000000000005</v>
      </c>
      <c r="C345">
        <v>527.57000000000005</v>
      </c>
    </row>
    <row r="346" spans="1:3" x14ac:dyDescent="0.3">
      <c r="A346">
        <v>3</v>
      </c>
      <c r="B346">
        <v>623.34</v>
      </c>
      <c r="C346">
        <v>1870.02</v>
      </c>
    </row>
    <row r="347" spans="1:3" x14ac:dyDescent="0.3">
      <c r="A347">
        <v>5</v>
      </c>
      <c r="B347">
        <v>501.26</v>
      </c>
      <c r="C347">
        <v>2506.3000000000002</v>
      </c>
    </row>
    <row r="348" spans="1:3" x14ac:dyDescent="0.3">
      <c r="A348">
        <v>1</v>
      </c>
      <c r="B348">
        <v>655.09</v>
      </c>
      <c r="C348">
        <v>655.09</v>
      </c>
    </row>
    <row r="349" spans="1:3" x14ac:dyDescent="0.3">
      <c r="A349">
        <v>4</v>
      </c>
      <c r="B349">
        <v>264.79000000000002</v>
      </c>
      <c r="C349">
        <v>1059.1600000000001</v>
      </c>
    </row>
    <row r="350" spans="1:3" x14ac:dyDescent="0.3">
      <c r="A350">
        <v>3</v>
      </c>
      <c r="B350">
        <v>359.73</v>
      </c>
      <c r="C350">
        <v>1079.19</v>
      </c>
    </row>
    <row r="351" spans="1:3" x14ac:dyDescent="0.3">
      <c r="A351">
        <v>1</v>
      </c>
      <c r="B351">
        <v>465.33</v>
      </c>
      <c r="C351">
        <v>465.33</v>
      </c>
    </row>
    <row r="352" spans="1:3" x14ac:dyDescent="0.3">
      <c r="A352">
        <v>2</v>
      </c>
      <c r="B352">
        <v>54.41</v>
      </c>
      <c r="C352">
        <v>108.82</v>
      </c>
    </row>
    <row r="353" spans="1:3" x14ac:dyDescent="0.3">
      <c r="A353">
        <v>1</v>
      </c>
      <c r="B353">
        <v>64.66</v>
      </c>
      <c r="C353">
        <v>64.66</v>
      </c>
    </row>
    <row r="354" spans="1:3" x14ac:dyDescent="0.3">
      <c r="A354">
        <v>5</v>
      </c>
      <c r="B354">
        <v>173.96</v>
      </c>
      <c r="C354">
        <v>869.80000000000007</v>
      </c>
    </row>
    <row r="355" spans="1:3" x14ac:dyDescent="0.3">
      <c r="A355">
        <v>1</v>
      </c>
      <c r="B355">
        <v>630.82000000000005</v>
      </c>
      <c r="C355">
        <v>630.82000000000005</v>
      </c>
    </row>
    <row r="356" spans="1:3" x14ac:dyDescent="0.3">
      <c r="A356">
        <v>1</v>
      </c>
      <c r="B356">
        <v>693.41</v>
      </c>
      <c r="C356">
        <v>693.41</v>
      </c>
    </row>
    <row r="357" spans="1:3" x14ac:dyDescent="0.3">
      <c r="A357">
        <v>3</v>
      </c>
      <c r="B357">
        <v>433.33</v>
      </c>
      <c r="C357">
        <v>1299.99</v>
      </c>
    </row>
    <row r="358" spans="1:3" x14ac:dyDescent="0.3">
      <c r="A358">
        <v>5</v>
      </c>
      <c r="B358">
        <v>374.58</v>
      </c>
      <c r="C358">
        <v>1872.9</v>
      </c>
    </row>
    <row r="359" spans="1:3" x14ac:dyDescent="0.3">
      <c r="A359">
        <v>5</v>
      </c>
      <c r="B359">
        <v>408.56</v>
      </c>
      <c r="C359">
        <v>2042.8</v>
      </c>
    </row>
    <row r="360" spans="1:3" x14ac:dyDescent="0.3">
      <c r="A360">
        <v>2</v>
      </c>
      <c r="B360">
        <v>183.67</v>
      </c>
      <c r="C360">
        <v>367.34</v>
      </c>
    </row>
    <row r="361" spans="1:3" x14ac:dyDescent="0.3">
      <c r="A361">
        <v>4</v>
      </c>
      <c r="B361">
        <v>606.57000000000005</v>
      </c>
      <c r="C361">
        <v>2426.2800000000002</v>
      </c>
    </row>
    <row r="362" spans="1:3" x14ac:dyDescent="0.3">
      <c r="A362">
        <v>4</v>
      </c>
      <c r="B362">
        <v>589.57000000000005</v>
      </c>
      <c r="C362">
        <v>2358.2800000000002</v>
      </c>
    </row>
    <row r="363" spans="1:3" x14ac:dyDescent="0.3">
      <c r="A363">
        <v>5</v>
      </c>
      <c r="B363">
        <v>659.85</v>
      </c>
      <c r="C363">
        <v>3299.25</v>
      </c>
    </row>
    <row r="364" spans="1:3" x14ac:dyDescent="0.3">
      <c r="A364">
        <v>4</v>
      </c>
      <c r="B364">
        <v>206.84</v>
      </c>
      <c r="C364">
        <v>827.36</v>
      </c>
    </row>
    <row r="365" spans="1:3" x14ac:dyDescent="0.3">
      <c r="A365">
        <v>5</v>
      </c>
      <c r="B365">
        <v>113.87</v>
      </c>
      <c r="C365">
        <v>569.35</v>
      </c>
    </row>
    <row r="366" spans="1:3" x14ac:dyDescent="0.3">
      <c r="A366">
        <v>5</v>
      </c>
      <c r="B366">
        <v>628.74</v>
      </c>
      <c r="C366">
        <v>3143.7</v>
      </c>
    </row>
    <row r="367" spans="1:3" x14ac:dyDescent="0.3">
      <c r="A367">
        <v>1</v>
      </c>
      <c r="B367">
        <v>678.38</v>
      </c>
      <c r="C367">
        <v>678.38</v>
      </c>
    </row>
    <row r="368" spans="1:3" x14ac:dyDescent="0.3">
      <c r="A368">
        <v>3</v>
      </c>
      <c r="B368">
        <v>602.24</v>
      </c>
      <c r="C368">
        <v>1806.72</v>
      </c>
    </row>
    <row r="369" spans="1:3" x14ac:dyDescent="0.3">
      <c r="A369">
        <v>5</v>
      </c>
      <c r="B369">
        <v>658.77</v>
      </c>
      <c r="C369">
        <v>3293.85</v>
      </c>
    </row>
    <row r="370" spans="1:3" x14ac:dyDescent="0.3">
      <c r="A370">
        <v>3</v>
      </c>
      <c r="B370">
        <v>271.02</v>
      </c>
      <c r="C370">
        <v>813.06</v>
      </c>
    </row>
    <row r="371" spans="1:3" x14ac:dyDescent="0.3">
      <c r="A371">
        <v>5</v>
      </c>
      <c r="B371">
        <v>375.25</v>
      </c>
      <c r="C371">
        <v>1876.25</v>
      </c>
    </row>
    <row r="372" spans="1:3" x14ac:dyDescent="0.3">
      <c r="A372">
        <v>1</v>
      </c>
      <c r="B372">
        <v>312.11</v>
      </c>
      <c r="C372">
        <v>312.11</v>
      </c>
    </row>
    <row r="373" spans="1:3" x14ac:dyDescent="0.3">
      <c r="A373">
        <v>5</v>
      </c>
      <c r="B373">
        <v>307.76</v>
      </c>
      <c r="C373">
        <v>1538.8</v>
      </c>
    </row>
    <row r="374" spans="1:3" x14ac:dyDescent="0.3">
      <c r="A374">
        <v>3</v>
      </c>
      <c r="B374">
        <v>483.53</v>
      </c>
      <c r="C374">
        <v>1450.59</v>
      </c>
    </row>
    <row r="375" spans="1:3" x14ac:dyDescent="0.3">
      <c r="A375">
        <v>3</v>
      </c>
      <c r="B375">
        <v>341.15</v>
      </c>
      <c r="C375">
        <v>1023.45</v>
      </c>
    </row>
    <row r="376" spans="1:3" x14ac:dyDescent="0.3">
      <c r="A376">
        <v>1</v>
      </c>
      <c r="B376">
        <v>571.9</v>
      </c>
      <c r="C376">
        <v>571.9</v>
      </c>
    </row>
    <row r="377" spans="1:3" x14ac:dyDescent="0.3">
      <c r="A377">
        <v>4</v>
      </c>
      <c r="B377">
        <v>95.03</v>
      </c>
      <c r="C377">
        <v>380.12</v>
      </c>
    </row>
    <row r="378" spans="1:3" x14ac:dyDescent="0.3">
      <c r="A378">
        <v>5</v>
      </c>
      <c r="B378">
        <v>201.22</v>
      </c>
      <c r="C378">
        <v>1006.1</v>
      </c>
    </row>
    <row r="379" spans="1:3" x14ac:dyDescent="0.3">
      <c r="A379">
        <v>1</v>
      </c>
      <c r="B379">
        <v>260.26</v>
      </c>
      <c r="C379">
        <v>260.26</v>
      </c>
    </row>
    <row r="380" spans="1:3" x14ac:dyDescent="0.3">
      <c r="A380">
        <v>5</v>
      </c>
      <c r="B380">
        <v>64.5</v>
      </c>
      <c r="C380">
        <v>322.5</v>
      </c>
    </row>
    <row r="381" spans="1:3" x14ac:dyDescent="0.3">
      <c r="A381">
        <v>3</v>
      </c>
      <c r="B381">
        <v>297.67</v>
      </c>
      <c r="C381">
        <v>893.01</v>
      </c>
    </row>
    <row r="382" spans="1:3" x14ac:dyDescent="0.3">
      <c r="A382">
        <v>4</v>
      </c>
      <c r="B382">
        <v>331.9</v>
      </c>
      <c r="C382">
        <v>1327.6</v>
      </c>
    </row>
    <row r="383" spans="1:3" x14ac:dyDescent="0.3">
      <c r="A383">
        <v>1</v>
      </c>
      <c r="B383">
        <v>191.76</v>
      </c>
      <c r="C383">
        <v>191.76</v>
      </c>
    </row>
    <row r="384" spans="1:3" x14ac:dyDescent="0.3">
      <c r="A384">
        <v>4</v>
      </c>
      <c r="B384">
        <v>263.08999999999997</v>
      </c>
      <c r="C384">
        <v>1052.3599999999999</v>
      </c>
    </row>
    <row r="385" spans="1:3" x14ac:dyDescent="0.3">
      <c r="A385">
        <v>4</v>
      </c>
      <c r="B385">
        <v>393.8</v>
      </c>
      <c r="C385">
        <v>1575.2</v>
      </c>
    </row>
    <row r="386" spans="1:3" x14ac:dyDescent="0.3">
      <c r="A386">
        <v>3</v>
      </c>
      <c r="B386">
        <v>553.57000000000005</v>
      </c>
      <c r="C386">
        <v>1660.71</v>
      </c>
    </row>
    <row r="387" spans="1:3" x14ac:dyDescent="0.3">
      <c r="A387">
        <v>5</v>
      </c>
      <c r="B387">
        <v>191.63</v>
      </c>
      <c r="C387">
        <v>958.15</v>
      </c>
    </row>
    <row r="388" spans="1:3" x14ac:dyDescent="0.3">
      <c r="A388">
        <v>1</v>
      </c>
      <c r="B388">
        <v>93.02</v>
      </c>
      <c r="C388">
        <v>93.02</v>
      </c>
    </row>
    <row r="389" spans="1:3" x14ac:dyDescent="0.3">
      <c r="A389">
        <v>2</v>
      </c>
      <c r="B389">
        <v>39.53</v>
      </c>
      <c r="C389">
        <v>79.06</v>
      </c>
    </row>
    <row r="390" spans="1:3" x14ac:dyDescent="0.3">
      <c r="A390">
        <v>3</v>
      </c>
      <c r="B390">
        <v>633.97</v>
      </c>
      <c r="C390">
        <v>1901.91</v>
      </c>
    </row>
    <row r="391" spans="1:3" x14ac:dyDescent="0.3">
      <c r="A391">
        <v>4</v>
      </c>
      <c r="B391">
        <v>697.5</v>
      </c>
      <c r="C391">
        <v>2790</v>
      </c>
    </row>
    <row r="392" spans="1:3" x14ac:dyDescent="0.3">
      <c r="A392">
        <v>5</v>
      </c>
      <c r="B392">
        <v>508.69</v>
      </c>
      <c r="C392">
        <v>2543.4499999999998</v>
      </c>
    </row>
    <row r="393" spans="1:3" x14ac:dyDescent="0.3">
      <c r="A393">
        <v>2</v>
      </c>
      <c r="B393">
        <v>527.46</v>
      </c>
      <c r="C393">
        <v>1054.92</v>
      </c>
    </row>
    <row r="394" spans="1:3" x14ac:dyDescent="0.3">
      <c r="A394">
        <v>1</v>
      </c>
      <c r="B394">
        <v>627.20000000000005</v>
      </c>
      <c r="C394">
        <v>627.20000000000005</v>
      </c>
    </row>
    <row r="395" spans="1:3" x14ac:dyDescent="0.3">
      <c r="A395">
        <v>1</v>
      </c>
      <c r="B395">
        <v>75.010000000000005</v>
      </c>
      <c r="C395">
        <v>75.010000000000005</v>
      </c>
    </row>
    <row r="396" spans="1:3" x14ac:dyDescent="0.3">
      <c r="A396">
        <v>5</v>
      </c>
      <c r="B396">
        <v>529.54999999999995</v>
      </c>
      <c r="C396">
        <v>2647.75</v>
      </c>
    </row>
    <row r="397" spans="1:3" x14ac:dyDescent="0.3">
      <c r="A397">
        <v>3</v>
      </c>
      <c r="B397">
        <v>127.41</v>
      </c>
      <c r="C397">
        <v>382.23</v>
      </c>
    </row>
    <row r="398" spans="1:3" x14ac:dyDescent="0.3">
      <c r="A398">
        <v>5</v>
      </c>
      <c r="B398">
        <v>287.13</v>
      </c>
      <c r="C398">
        <v>1435.65</v>
      </c>
    </row>
    <row r="399" spans="1:3" x14ac:dyDescent="0.3">
      <c r="A399">
        <v>1</v>
      </c>
      <c r="B399">
        <v>427.06</v>
      </c>
      <c r="C399">
        <v>427.06</v>
      </c>
    </row>
    <row r="400" spans="1:3" x14ac:dyDescent="0.3">
      <c r="A400">
        <v>5</v>
      </c>
      <c r="B400">
        <v>53.93</v>
      </c>
      <c r="C400">
        <v>269.64999999999998</v>
      </c>
    </row>
    <row r="401" spans="1:3" x14ac:dyDescent="0.3">
      <c r="A401">
        <v>5</v>
      </c>
      <c r="B401">
        <v>423.93</v>
      </c>
      <c r="C401">
        <v>2119.65</v>
      </c>
    </row>
    <row r="402" spans="1:3" x14ac:dyDescent="0.3">
      <c r="A402">
        <v>4</v>
      </c>
      <c r="B402">
        <v>160.22</v>
      </c>
      <c r="C402">
        <v>640.88</v>
      </c>
    </row>
    <row r="403" spans="1:3" x14ac:dyDescent="0.3">
      <c r="A403">
        <v>1</v>
      </c>
      <c r="B403">
        <v>538.67999999999995</v>
      </c>
      <c r="C403">
        <v>538.67999999999995</v>
      </c>
    </row>
    <row r="404" spans="1:3" x14ac:dyDescent="0.3">
      <c r="A404">
        <v>5</v>
      </c>
      <c r="B404">
        <v>337.38</v>
      </c>
      <c r="C404">
        <v>1686.9</v>
      </c>
    </row>
    <row r="405" spans="1:3" x14ac:dyDescent="0.3">
      <c r="A405">
        <v>1</v>
      </c>
      <c r="B405">
        <v>620.21</v>
      </c>
      <c r="C405">
        <v>620.21</v>
      </c>
    </row>
    <row r="406" spans="1:3" x14ac:dyDescent="0.3">
      <c r="A406">
        <v>2</v>
      </c>
      <c r="B406">
        <v>99.1</v>
      </c>
      <c r="C406">
        <v>198.2</v>
      </c>
    </row>
    <row r="407" spans="1:3" x14ac:dyDescent="0.3">
      <c r="A407">
        <v>4</v>
      </c>
      <c r="B407">
        <v>451.97</v>
      </c>
      <c r="C407">
        <v>1807.88</v>
      </c>
    </row>
    <row r="408" spans="1:3" x14ac:dyDescent="0.3">
      <c r="A408">
        <v>4</v>
      </c>
      <c r="B408">
        <v>66.099999999999994</v>
      </c>
      <c r="C408">
        <v>264.39999999999998</v>
      </c>
    </row>
    <row r="409" spans="1:3" x14ac:dyDescent="0.3">
      <c r="A409">
        <v>4</v>
      </c>
      <c r="B409">
        <v>547.32000000000005</v>
      </c>
      <c r="C409">
        <v>2189.2800000000002</v>
      </c>
    </row>
    <row r="410" spans="1:3" x14ac:dyDescent="0.3">
      <c r="A410">
        <v>3</v>
      </c>
      <c r="B410">
        <v>412.53</v>
      </c>
      <c r="C410">
        <v>1237.5899999999999</v>
      </c>
    </row>
    <row r="411" spans="1:3" x14ac:dyDescent="0.3">
      <c r="A411">
        <v>5</v>
      </c>
      <c r="B411">
        <v>84.13</v>
      </c>
      <c r="C411">
        <v>420.65</v>
      </c>
    </row>
    <row r="412" spans="1:3" x14ac:dyDescent="0.3">
      <c r="A412">
        <v>2</v>
      </c>
      <c r="B412">
        <v>518.23</v>
      </c>
      <c r="C412">
        <v>1036.46</v>
      </c>
    </row>
    <row r="413" spans="1:3" x14ac:dyDescent="0.3">
      <c r="A413">
        <v>2</v>
      </c>
      <c r="B413">
        <v>39.51</v>
      </c>
      <c r="C413">
        <v>79.02</v>
      </c>
    </row>
    <row r="414" spans="1:3" x14ac:dyDescent="0.3">
      <c r="A414">
        <v>5</v>
      </c>
      <c r="B414">
        <v>133.01</v>
      </c>
      <c r="C414">
        <v>665.05</v>
      </c>
    </row>
    <row r="415" spans="1:3" x14ac:dyDescent="0.3">
      <c r="A415">
        <v>1</v>
      </c>
      <c r="B415">
        <v>118.8</v>
      </c>
      <c r="C415">
        <v>118.8</v>
      </c>
    </row>
    <row r="416" spans="1:3" x14ac:dyDescent="0.3">
      <c r="A416">
        <v>2</v>
      </c>
      <c r="B416">
        <v>139.57</v>
      </c>
      <c r="C416">
        <v>279.14</v>
      </c>
    </row>
    <row r="417" spans="1:3" x14ac:dyDescent="0.3">
      <c r="A417">
        <v>1</v>
      </c>
      <c r="B417">
        <v>184.15</v>
      </c>
      <c r="C417">
        <v>184.15</v>
      </c>
    </row>
    <row r="418" spans="1:3" x14ac:dyDescent="0.3">
      <c r="A418">
        <v>2</v>
      </c>
      <c r="B418">
        <v>644.04999999999995</v>
      </c>
      <c r="C418">
        <v>1288.0999999999999</v>
      </c>
    </row>
    <row r="419" spans="1:3" x14ac:dyDescent="0.3">
      <c r="A419">
        <v>5</v>
      </c>
      <c r="B419">
        <v>55.41</v>
      </c>
      <c r="C419">
        <v>277.05</v>
      </c>
    </row>
    <row r="420" spans="1:3" x14ac:dyDescent="0.3">
      <c r="A420">
        <v>1</v>
      </c>
      <c r="B420">
        <v>310.93</v>
      </c>
      <c r="C420">
        <v>310.93</v>
      </c>
    </row>
    <row r="421" spans="1:3" x14ac:dyDescent="0.3">
      <c r="A421">
        <v>2</v>
      </c>
      <c r="B421">
        <v>216.66</v>
      </c>
      <c r="C421">
        <v>433.32</v>
      </c>
    </row>
    <row r="422" spans="1:3" x14ac:dyDescent="0.3">
      <c r="A422">
        <v>1</v>
      </c>
      <c r="B422">
        <v>452.7</v>
      </c>
      <c r="C422">
        <v>452.7</v>
      </c>
    </row>
    <row r="423" spans="1:3" x14ac:dyDescent="0.3">
      <c r="A423">
        <v>2</v>
      </c>
      <c r="B423">
        <v>288.20999999999998</v>
      </c>
      <c r="C423">
        <v>576.41999999999996</v>
      </c>
    </row>
    <row r="424" spans="1:3" x14ac:dyDescent="0.3">
      <c r="A424">
        <v>4</v>
      </c>
      <c r="B424">
        <v>206.6</v>
      </c>
      <c r="C424">
        <v>826.4</v>
      </c>
    </row>
    <row r="425" spans="1:3" x14ac:dyDescent="0.3">
      <c r="A425">
        <v>4</v>
      </c>
      <c r="B425">
        <v>685.2</v>
      </c>
      <c r="C425">
        <v>2740.8</v>
      </c>
    </row>
    <row r="426" spans="1:3" x14ac:dyDescent="0.3">
      <c r="A426">
        <v>5</v>
      </c>
      <c r="B426">
        <v>22.94</v>
      </c>
      <c r="C426">
        <v>114.7</v>
      </c>
    </row>
    <row r="427" spans="1:3" x14ac:dyDescent="0.3">
      <c r="A427">
        <v>2</v>
      </c>
      <c r="B427">
        <v>301.88</v>
      </c>
      <c r="C427">
        <v>603.76</v>
      </c>
    </row>
    <row r="428" spans="1:3" x14ac:dyDescent="0.3">
      <c r="A428">
        <v>5</v>
      </c>
      <c r="B428">
        <v>57.45</v>
      </c>
      <c r="C428">
        <v>287.25</v>
      </c>
    </row>
    <row r="429" spans="1:3" x14ac:dyDescent="0.3">
      <c r="A429">
        <v>1</v>
      </c>
      <c r="B429">
        <v>161.24</v>
      </c>
      <c r="C429">
        <v>161.24</v>
      </c>
    </row>
    <row r="430" spans="1:3" x14ac:dyDescent="0.3">
      <c r="A430">
        <v>4</v>
      </c>
      <c r="B430">
        <v>262.58</v>
      </c>
      <c r="C430">
        <v>1050.32</v>
      </c>
    </row>
    <row r="431" spans="1:3" x14ac:dyDescent="0.3">
      <c r="A431">
        <v>4</v>
      </c>
      <c r="B431">
        <v>515.19000000000005</v>
      </c>
      <c r="C431">
        <v>2060.7600000000002</v>
      </c>
    </row>
    <row r="432" spans="1:3" x14ac:dyDescent="0.3">
      <c r="A432">
        <v>1</v>
      </c>
      <c r="B432">
        <v>450.07</v>
      </c>
      <c r="C432">
        <v>450.07</v>
      </c>
    </row>
    <row r="433" spans="1:3" x14ac:dyDescent="0.3">
      <c r="A433">
        <v>1</v>
      </c>
      <c r="B433">
        <v>52.54</v>
      </c>
      <c r="C433">
        <v>52.54</v>
      </c>
    </row>
    <row r="434" spans="1:3" x14ac:dyDescent="0.3">
      <c r="A434">
        <v>2</v>
      </c>
      <c r="B434">
        <v>424.32</v>
      </c>
      <c r="C434">
        <v>848.64</v>
      </c>
    </row>
    <row r="435" spans="1:3" x14ac:dyDescent="0.3">
      <c r="A435">
        <v>3</v>
      </c>
      <c r="B435">
        <v>631.64</v>
      </c>
      <c r="C435">
        <v>1894.92</v>
      </c>
    </row>
    <row r="436" spans="1:3" x14ac:dyDescent="0.3">
      <c r="A436">
        <v>5</v>
      </c>
      <c r="B436">
        <v>327.68</v>
      </c>
      <c r="C436">
        <v>1638.4</v>
      </c>
    </row>
    <row r="437" spans="1:3" x14ac:dyDescent="0.3">
      <c r="A437">
        <v>1</v>
      </c>
      <c r="B437">
        <v>414.47</v>
      </c>
      <c r="C437">
        <v>414.47</v>
      </c>
    </row>
    <row r="438" spans="1:3" x14ac:dyDescent="0.3">
      <c r="A438">
        <v>4</v>
      </c>
      <c r="B438">
        <v>221.33</v>
      </c>
      <c r="C438">
        <v>885.32</v>
      </c>
    </row>
    <row r="439" spans="1:3" x14ac:dyDescent="0.3">
      <c r="A439">
        <v>1</v>
      </c>
      <c r="B439">
        <v>512.39</v>
      </c>
      <c r="C439">
        <v>512.39</v>
      </c>
    </row>
    <row r="440" spans="1:3" x14ac:dyDescent="0.3">
      <c r="A440">
        <v>3</v>
      </c>
      <c r="B440">
        <v>459.34</v>
      </c>
      <c r="C440">
        <v>1378.02</v>
      </c>
    </row>
    <row r="441" spans="1:3" x14ac:dyDescent="0.3">
      <c r="A441">
        <v>1</v>
      </c>
      <c r="B441">
        <v>146.32</v>
      </c>
      <c r="C441">
        <v>146.32</v>
      </c>
    </row>
    <row r="442" spans="1:3" x14ac:dyDescent="0.3">
      <c r="A442">
        <v>4</v>
      </c>
      <c r="B442">
        <v>83.6</v>
      </c>
      <c r="C442">
        <v>334.4</v>
      </c>
    </row>
    <row r="443" spans="1:3" x14ac:dyDescent="0.3">
      <c r="A443">
        <v>2</v>
      </c>
      <c r="B443">
        <v>328.54</v>
      </c>
      <c r="C443">
        <v>657.08</v>
      </c>
    </row>
    <row r="444" spans="1:3" x14ac:dyDescent="0.3">
      <c r="A444">
        <v>5</v>
      </c>
      <c r="B444">
        <v>314.94</v>
      </c>
      <c r="C444">
        <v>1574.7</v>
      </c>
    </row>
    <row r="445" spans="1:3" x14ac:dyDescent="0.3">
      <c r="A445">
        <v>2</v>
      </c>
      <c r="B445">
        <v>69.64</v>
      </c>
      <c r="C445">
        <v>139.28</v>
      </c>
    </row>
    <row r="446" spans="1:3" x14ac:dyDescent="0.3">
      <c r="A446">
        <v>1</v>
      </c>
      <c r="B446">
        <v>135.16999999999999</v>
      </c>
      <c r="C446">
        <v>135.16999999999999</v>
      </c>
    </row>
    <row r="447" spans="1:3" x14ac:dyDescent="0.3">
      <c r="A447">
        <v>1</v>
      </c>
      <c r="B447">
        <v>487.21</v>
      </c>
      <c r="C447">
        <v>487.21</v>
      </c>
    </row>
    <row r="448" spans="1:3" x14ac:dyDescent="0.3">
      <c r="A448">
        <v>5</v>
      </c>
      <c r="B448">
        <v>509.58</v>
      </c>
      <c r="C448">
        <v>2547.9</v>
      </c>
    </row>
    <row r="449" spans="1:3" x14ac:dyDescent="0.3">
      <c r="A449">
        <v>2</v>
      </c>
      <c r="B449">
        <v>416.81</v>
      </c>
      <c r="C449">
        <v>833.62</v>
      </c>
    </row>
    <row r="450" spans="1:3" x14ac:dyDescent="0.3">
      <c r="A450">
        <v>2</v>
      </c>
      <c r="B450">
        <v>160</v>
      </c>
      <c r="C450">
        <v>320</v>
      </c>
    </row>
    <row r="451" spans="1:3" x14ac:dyDescent="0.3">
      <c r="A451">
        <v>3</v>
      </c>
      <c r="B451">
        <v>253.05</v>
      </c>
      <c r="C451">
        <v>759.15000000000009</v>
      </c>
    </row>
    <row r="452" spans="1:3" x14ac:dyDescent="0.3">
      <c r="A452">
        <v>5</v>
      </c>
      <c r="B452">
        <v>615.1</v>
      </c>
      <c r="C452">
        <v>3075.5</v>
      </c>
    </row>
    <row r="453" spans="1:3" x14ac:dyDescent="0.3">
      <c r="A453">
        <v>1</v>
      </c>
      <c r="B453">
        <v>183.18</v>
      </c>
      <c r="C453">
        <v>183.18</v>
      </c>
    </row>
    <row r="454" spans="1:3" x14ac:dyDescent="0.3">
      <c r="A454">
        <v>1</v>
      </c>
      <c r="B454">
        <v>75.78</v>
      </c>
      <c r="C454">
        <v>75.78</v>
      </c>
    </row>
    <row r="455" spans="1:3" x14ac:dyDescent="0.3">
      <c r="A455">
        <v>1</v>
      </c>
      <c r="B455">
        <v>675.57</v>
      </c>
      <c r="C455">
        <v>675.57</v>
      </c>
    </row>
    <row r="456" spans="1:3" x14ac:dyDescent="0.3">
      <c r="A456">
        <v>1</v>
      </c>
      <c r="B456">
        <v>109.29</v>
      </c>
      <c r="C456">
        <v>109.29</v>
      </c>
    </row>
    <row r="457" spans="1:3" x14ac:dyDescent="0.3">
      <c r="A457">
        <v>1</v>
      </c>
      <c r="B457">
        <v>639.83000000000004</v>
      </c>
      <c r="C457">
        <v>639.83000000000004</v>
      </c>
    </row>
    <row r="458" spans="1:3" x14ac:dyDescent="0.3">
      <c r="A458">
        <v>5</v>
      </c>
      <c r="B458">
        <v>62.81</v>
      </c>
      <c r="C458">
        <v>314.05</v>
      </c>
    </row>
    <row r="459" spans="1:3" x14ac:dyDescent="0.3">
      <c r="A459">
        <v>4</v>
      </c>
      <c r="B459">
        <v>615.83000000000004</v>
      </c>
      <c r="C459">
        <v>2463.3200000000002</v>
      </c>
    </row>
    <row r="460" spans="1:3" x14ac:dyDescent="0.3">
      <c r="A460">
        <v>4</v>
      </c>
      <c r="B460">
        <v>510.58</v>
      </c>
      <c r="C460">
        <v>2042.32</v>
      </c>
    </row>
    <row r="461" spans="1:3" x14ac:dyDescent="0.3">
      <c r="A461">
        <v>1</v>
      </c>
      <c r="B461">
        <v>334.39</v>
      </c>
      <c r="C461">
        <v>334.39</v>
      </c>
    </row>
    <row r="462" spans="1:3" x14ac:dyDescent="0.3">
      <c r="A462">
        <v>1</v>
      </c>
      <c r="B462">
        <v>144.25</v>
      </c>
      <c r="C462">
        <v>144.25</v>
      </c>
    </row>
    <row r="463" spans="1:3" x14ac:dyDescent="0.3">
      <c r="A463">
        <v>1</v>
      </c>
      <c r="B463">
        <v>401.82</v>
      </c>
      <c r="C463">
        <v>401.82</v>
      </c>
    </row>
    <row r="464" spans="1:3" x14ac:dyDescent="0.3">
      <c r="A464">
        <v>1</v>
      </c>
      <c r="B464">
        <v>252.68</v>
      </c>
      <c r="C464">
        <v>252.68</v>
      </c>
    </row>
    <row r="465" spans="1:3" x14ac:dyDescent="0.3">
      <c r="A465">
        <v>5</v>
      </c>
      <c r="B465">
        <v>662.78</v>
      </c>
      <c r="C465">
        <v>3313.9</v>
      </c>
    </row>
    <row r="466" spans="1:3" x14ac:dyDescent="0.3">
      <c r="A466">
        <v>4</v>
      </c>
      <c r="B466">
        <v>434.42</v>
      </c>
      <c r="C466">
        <v>1737.68</v>
      </c>
    </row>
    <row r="467" spans="1:3" x14ac:dyDescent="0.3">
      <c r="A467">
        <v>5</v>
      </c>
      <c r="B467">
        <v>513.49</v>
      </c>
      <c r="C467">
        <v>2567.4499999999998</v>
      </c>
    </row>
    <row r="468" spans="1:3" x14ac:dyDescent="0.3">
      <c r="A468">
        <v>1</v>
      </c>
      <c r="B468">
        <v>432.47</v>
      </c>
      <c r="C468">
        <v>432.47</v>
      </c>
    </row>
    <row r="469" spans="1:3" x14ac:dyDescent="0.3">
      <c r="A469">
        <v>1</v>
      </c>
      <c r="B469">
        <v>45.94</v>
      </c>
      <c r="C469">
        <v>45.94</v>
      </c>
    </row>
    <row r="470" spans="1:3" x14ac:dyDescent="0.3">
      <c r="A470">
        <v>1</v>
      </c>
      <c r="B470">
        <v>418.36</v>
      </c>
      <c r="C470">
        <v>418.36</v>
      </c>
    </row>
    <row r="471" spans="1:3" x14ac:dyDescent="0.3">
      <c r="A471">
        <v>5</v>
      </c>
      <c r="B471">
        <v>676.98</v>
      </c>
      <c r="C471">
        <v>3384.9</v>
      </c>
    </row>
    <row r="472" spans="1:3" x14ac:dyDescent="0.3">
      <c r="A472">
        <v>4</v>
      </c>
      <c r="B472">
        <v>263.62</v>
      </c>
      <c r="C472">
        <v>1054.48</v>
      </c>
    </row>
    <row r="473" spans="1:3" x14ac:dyDescent="0.3">
      <c r="A473">
        <v>5</v>
      </c>
      <c r="B473">
        <v>551.27</v>
      </c>
      <c r="C473">
        <v>2756.35</v>
      </c>
    </row>
    <row r="474" spans="1:3" x14ac:dyDescent="0.3">
      <c r="A474">
        <v>3</v>
      </c>
      <c r="B474">
        <v>508.12</v>
      </c>
      <c r="C474">
        <v>1524.36</v>
      </c>
    </row>
    <row r="475" spans="1:3" x14ac:dyDescent="0.3">
      <c r="A475">
        <v>2</v>
      </c>
      <c r="B475">
        <v>14.93</v>
      </c>
      <c r="C475">
        <v>29.86</v>
      </c>
    </row>
    <row r="476" spans="1:3" x14ac:dyDescent="0.3">
      <c r="A476">
        <v>3</v>
      </c>
      <c r="B476">
        <v>229.34</v>
      </c>
      <c r="C476">
        <v>688.02</v>
      </c>
    </row>
    <row r="477" spans="1:3" x14ac:dyDescent="0.3">
      <c r="A477">
        <v>2</v>
      </c>
      <c r="B477">
        <v>438.62</v>
      </c>
      <c r="C477">
        <v>877.24</v>
      </c>
    </row>
    <row r="478" spans="1:3" x14ac:dyDescent="0.3">
      <c r="A478">
        <v>2</v>
      </c>
      <c r="B478">
        <v>513.59</v>
      </c>
      <c r="C478">
        <v>1027.18</v>
      </c>
    </row>
    <row r="479" spans="1:3" x14ac:dyDescent="0.3">
      <c r="A479">
        <v>2</v>
      </c>
      <c r="B479">
        <v>253.74</v>
      </c>
      <c r="C479">
        <v>507.48</v>
      </c>
    </row>
    <row r="480" spans="1:3" x14ac:dyDescent="0.3">
      <c r="A480">
        <v>3</v>
      </c>
      <c r="B480">
        <v>62.77</v>
      </c>
      <c r="C480">
        <v>188.31</v>
      </c>
    </row>
    <row r="481" spans="1:3" x14ac:dyDescent="0.3">
      <c r="A481">
        <v>4</v>
      </c>
      <c r="B481">
        <v>25.29</v>
      </c>
      <c r="C481">
        <v>101.16</v>
      </c>
    </row>
    <row r="482" spans="1:3" x14ac:dyDescent="0.3">
      <c r="A482">
        <v>1</v>
      </c>
      <c r="B482">
        <v>335.1</v>
      </c>
      <c r="C482">
        <v>335.1</v>
      </c>
    </row>
    <row r="483" spans="1:3" x14ac:dyDescent="0.3">
      <c r="A483">
        <v>4</v>
      </c>
      <c r="B483">
        <v>484.85</v>
      </c>
      <c r="C483">
        <v>1939.4</v>
      </c>
    </row>
    <row r="484" spans="1:3" x14ac:dyDescent="0.3">
      <c r="A484">
        <v>3</v>
      </c>
      <c r="B484">
        <v>381.41</v>
      </c>
      <c r="C484">
        <v>1144.23</v>
      </c>
    </row>
    <row r="485" spans="1:3" x14ac:dyDescent="0.3">
      <c r="A485">
        <v>5</v>
      </c>
      <c r="B485">
        <v>347.92</v>
      </c>
      <c r="C485">
        <v>1739.6</v>
      </c>
    </row>
    <row r="486" spans="1:3" x14ac:dyDescent="0.3">
      <c r="A486">
        <v>4</v>
      </c>
      <c r="B486">
        <v>15.01</v>
      </c>
      <c r="C486">
        <v>60.04</v>
      </c>
    </row>
    <row r="487" spans="1:3" x14ac:dyDescent="0.3">
      <c r="A487">
        <v>3</v>
      </c>
      <c r="B487">
        <v>404.79</v>
      </c>
      <c r="C487">
        <v>1214.3699999999999</v>
      </c>
    </row>
    <row r="488" spans="1:3" x14ac:dyDescent="0.3">
      <c r="A488">
        <v>4</v>
      </c>
      <c r="B488">
        <v>611.26</v>
      </c>
      <c r="C488">
        <v>2445.04</v>
      </c>
    </row>
    <row r="489" spans="1:3" x14ac:dyDescent="0.3">
      <c r="A489">
        <v>3</v>
      </c>
      <c r="B489">
        <v>346.52</v>
      </c>
      <c r="C489">
        <v>1039.56</v>
      </c>
    </row>
    <row r="490" spans="1:3" x14ac:dyDescent="0.3">
      <c r="A490">
        <v>1</v>
      </c>
      <c r="B490">
        <v>36.65</v>
      </c>
      <c r="C490">
        <v>36.65</v>
      </c>
    </row>
    <row r="491" spans="1:3" x14ac:dyDescent="0.3">
      <c r="A491">
        <v>3</v>
      </c>
      <c r="B491">
        <v>149.34</v>
      </c>
      <c r="C491">
        <v>448.02</v>
      </c>
    </row>
    <row r="492" spans="1:3" x14ac:dyDescent="0.3">
      <c r="A492">
        <v>5</v>
      </c>
      <c r="B492">
        <v>467.81</v>
      </c>
      <c r="C492">
        <v>2339.0500000000002</v>
      </c>
    </row>
    <row r="493" spans="1:3" x14ac:dyDescent="0.3">
      <c r="A493">
        <v>5</v>
      </c>
      <c r="B493">
        <v>420.7</v>
      </c>
      <c r="C493">
        <v>2103.5</v>
      </c>
    </row>
    <row r="494" spans="1:3" x14ac:dyDescent="0.3">
      <c r="A494">
        <v>5</v>
      </c>
      <c r="B494">
        <v>606.52</v>
      </c>
      <c r="C494">
        <v>3032.6</v>
      </c>
    </row>
    <row r="495" spans="1:3" x14ac:dyDescent="0.3">
      <c r="A495">
        <v>1</v>
      </c>
      <c r="B495">
        <v>420.26</v>
      </c>
      <c r="C495">
        <v>420.26</v>
      </c>
    </row>
    <row r="496" spans="1:3" x14ac:dyDescent="0.3">
      <c r="A496">
        <v>3</v>
      </c>
      <c r="B496">
        <v>505.79</v>
      </c>
      <c r="C496">
        <v>1517.37</v>
      </c>
    </row>
    <row r="497" spans="1:3" x14ac:dyDescent="0.3">
      <c r="A497">
        <v>4</v>
      </c>
      <c r="B497">
        <v>493.73</v>
      </c>
      <c r="C497">
        <v>1974.92</v>
      </c>
    </row>
    <row r="498" spans="1:3" x14ac:dyDescent="0.3">
      <c r="A498">
        <v>3</v>
      </c>
      <c r="B498">
        <v>201.21</v>
      </c>
      <c r="C498">
        <v>603.63</v>
      </c>
    </row>
    <row r="499" spans="1:3" x14ac:dyDescent="0.3">
      <c r="A499">
        <v>3</v>
      </c>
      <c r="B499">
        <v>112.29</v>
      </c>
      <c r="C499">
        <v>336.87</v>
      </c>
    </row>
    <row r="500" spans="1:3" x14ac:dyDescent="0.3">
      <c r="A500">
        <v>4</v>
      </c>
      <c r="B500">
        <v>132.56</v>
      </c>
      <c r="C500">
        <v>530.24</v>
      </c>
    </row>
    <row r="501" spans="1:3" x14ac:dyDescent="0.3">
      <c r="A501">
        <v>3</v>
      </c>
      <c r="B501">
        <v>539.46</v>
      </c>
      <c r="C501">
        <v>1618.38</v>
      </c>
    </row>
    <row r="502" spans="1:3" x14ac:dyDescent="0.3">
      <c r="A502">
        <v>5</v>
      </c>
      <c r="B502">
        <v>508.59</v>
      </c>
      <c r="C502">
        <v>2542.9499999999998</v>
      </c>
    </row>
    <row r="503" spans="1:3" x14ac:dyDescent="0.3">
      <c r="A503">
        <v>4</v>
      </c>
      <c r="B503">
        <v>203.46</v>
      </c>
      <c r="C503">
        <v>813.84</v>
      </c>
    </row>
    <row r="504" spans="1:3" x14ac:dyDescent="0.3">
      <c r="A504">
        <v>3</v>
      </c>
      <c r="B504">
        <v>565.25</v>
      </c>
      <c r="C504">
        <v>1695.75</v>
      </c>
    </row>
    <row r="505" spans="1:3" x14ac:dyDescent="0.3">
      <c r="A505">
        <v>3</v>
      </c>
      <c r="B505">
        <v>136.84</v>
      </c>
      <c r="C505">
        <v>410.52</v>
      </c>
    </row>
    <row r="506" spans="1:3" x14ac:dyDescent="0.3">
      <c r="A506">
        <v>2</v>
      </c>
      <c r="B506">
        <v>464.5</v>
      </c>
      <c r="C506">
        <v>929</v>
      </c>
    </row>
    <row r="507" spans="1:3" x14ac:dyDescent="0.3">
      <c r="A507">
        <v>2</v>
      </c>
      <c r="B507">
        <v>434.97</v>
      </c>
      <c r="C507">
        <v>869.94</v>
      </c>
    </row>
    <row r="508" spans="1:3" x14ac:dyDescent="0.3">
      <c r="A508">
        <v>2</v>
      </c>
      <c r="B508">
        <v>43.67</v>
      </c>
      <c r="C508">
        <v>87.34</v>
      </c>
    </row>
    <row r="509" spans="1:3" x14ac:dyDescent="0.3">
      <c r="A509">
        <v>1</v>
      </c>
      <c r="B509">
        <v>171.59</v>
      </c>
      <c r="C509">
        <v>171.59</v>
      </c>
    </row>
    <row r="510" spans="1:3" x14ac:dyDescent="0.3">
      <c r="A510">
        <v>1</v>
      </c>
      <c r="B510">
        <v>558.27</v>
      </c>
      <c r="C510">
        <v>558.27</v>
      </c>
    </row>
    <row r="511" spans="1:3" x14ac:dyDescent="0.3">
      <c r="A511">
        <v>2</v>
      </c>
      <c r="B511">
        <v>425.03</v>
      </c>
      <c r="C511">
        <v>850.06</v>
      </c>
    </row>
    <row r="512" spans="1:3" x14ac:dyDescent="0.3">
      <c r="A512">
        <v>1</v>
      </c>
      <c r="B512">
        <v>376.76</v>
      </c>
      <c r="C512">
        <v>376.76</v>
      </c>
    </row>
    <row r="513" spans="1:3" x14ac:dyDescent="0.3">
      <c r="A513">
        <v>5</v>
      </c>
      <c r="B513">
        <v>575.24</v>
      </c>
      <c r="C513">
        <v>2876.2</v>
      </c>
    </row>
    <row r="514" spans="1:3" x14ac:dyDescent="0.3">
      <c r="A514">
        <v>3</v>
      </c>
      <c r="B514">
        <v>568.02</v>
      </c>
      <c r="C514">
        <v>1704.06</v>
      </c>
    </row>
    <row r="515" spans="1:3" x14ac:dyDescent="0.3">
      <c r="A515">
        <v>3</v>
      </c>
      <c r="B515">
        <v>94.88</v>
      </c>
      <c r="C515">
        <v>284.64</v>
      </c>
    </row>
    <row r="516" spans="1:3" x14ac:dyDescent="0.3">
      <c r="A516">
        <v>3</v>
      </c>
      <c r="B516">
        <v>304.14999999999998</v>
      </c>
      <c r="C516">
        <v>912.44999999999993</v>
      </c>
    </row>
    <row r="517" spans="1:3" x14ac:dyDescent="0.3">
      <c r="A517">
        <v>3</v>
      </c>
      <c r="B517">
        <v>553.52</v>
      </c>
      <c r="C517">
        <v>1660.56</v>
      </c>
    </row>
    <row r="518" spans="1:3" x14ac:dyDescent="0.3">
      <c r="A518">
        <v>3</v>
      </c>
      <c r="B518">
        <v>166.99</v>
      </c>
      <c r="C518">
        <v>500.97</v>
      </c>
    </row>
    <row r="519" spans="1:3" x14ac:dyDescent="0.3">
      <c r="A519">
        <v>4</v>
      </c>
      <c r="B519">
        <v>198.35</v>
      </c>
      <c r="C519">
        <v>793.4</v>
      </c>
    </row>
    <row r="520" spans="1:3" x14ac:dyDescent="0.3">
      <c r="A520">
        <v>4</v>
      </c>
      <c r="B520">
        <v>403.58</v>
      </c>
      <c r="C520">
        <v>1614.32</v>
      </c>
    </row>
    <row r="521" spans="1:3" x14ac:dyDescent="0.3">
      <c r="A521">
        <v>4</v>
      </c>
      <c r="B521">
        <v>464.29</v>
      </c>
      <c r="C521">
        <v>1857.16</v>
      </c>
    </row>
    <row r="522" spans="1:3" x14ac:dyDescent="0.3">
      <c r="A522">
        <v>3</v>
      </c>
      <c r="B522">
        <v>635.98</v>
      </c>
      <c r="C522">
        <v>1907.94</v>
      </c>
    </row>
    <row r="523" spans="1:3" x14ac:dyDescent="0.3">
      <c r="A523">
        <v>1</v>
      </c>
      <c r="B523">
        <v>528.05999999999995</v>
      </c>
      <c r="C523">
        <v>528.05999999999995</v>
      </c>
    </row>
    <row r="524" spans="1:3" x14ac:dyDescent="0.3">
      <c r="A524">
        <v>1</v>
      </c>
      <c r="B524">
        <v>515.32000000000005</v>
      </c>
      <c r="C524">
        <v>515.32000000000005</v>
      </c>
    </row>
    <row r="525" spans="1:3" x14ac:dyDescent="0.3">
      <c r="A525">
        <v>4</v>
      </c>
      <c r="B525">
        <v>657.79</v>
      </c>
      <c r="C525">
        <v>2631.16</v>
      </c>
    </row>
    <row r="526" spans="1:3" x14ac:dyDescent="0.3">
      <c r="A526">
        <v>1</v>
      </c>
      <c r="B526">
        <v>153</v>
      </c>
      <c r="C526">
        <v>153</v>
      </c>
    </row>
    <row r="527" spans="1:3" x14ac:dyDescent="0.3">
      <c r="A527">
        <v>1</v>
      </c>
      <c r="B527">
        <v>668.48</v>
      </c>
      <c r="C527">
        <v>668.48</v>
      </c>
    </row>
    <row r="528" spans="1:3" x14ac:dyDescent="0.3">
      <c r="A528">
        <v>2</v>
      </c>
      <c r="B528">
        <v>46.5</v>
      </c>
      <c r="C528">
        <v>93</v>
      </c>
    </row>
    <row r="529" spans="1:3" x14ac:dyDescent="0.3">
      <c r="A529">
        <v>5</v>
      </c>
      <c r="B529">
        <v>653.47</v>
      </c>
      <c r="C529">
        <v>3267.35</v>
      </c>
    </row>
    <row r="530" spans="1:3" x14ac:dyDescent="0.3">
      <c r="A530">
        <v>1</v>
      </c>
      <c r="B530">
        <v>628.89</v>
      </c>
      <c r="C530">
        <v>628.89</v>
      </c>
    </row>
    <row r="531" spans="1:3" x14ac:dyDescent="0.3">
      <c r="A531">
        <v>2</v>
      </c>
      <c r="B531">
        <v>675.1</v>
      </c>
      <c r="C531">
        <v>1350.2</v>
      </c>
    </row>
    <row r="532" spans="1:3" x14ac:dyDescent="0.3">
      <c r="A532">
        <v>4</v>
      </c>
      <c r="B532">
        <v>89.41</v>
      </c>
      <c r="C532">
        <v>357.64</v>
      </c>
    </row>
    <row r="533" spans="1:3" x14ac:dyDescent="0.3">
      <c r="A533">
        <v>5</v>
      </c>
      <c r="B533">
        <v>320.01</v>
      </c>
      <c r="C533">
        <v>1600.05</v>
      </c>
    </row>
    <row r="534" spans="1:3" x14ac:dyDescent="0.3">
      <c r="A534">
        <v>2</v>
      </c>
      <c r="B534">
        <v>41</v>
      </c>
      <c r="C534">
        <v>82</v>
      </c>
    </row>
    <row r="535" spans="1:3" x14ac:dyDescent="0.3">
      <c r="A535">
        <v>1</v>
      </c>
      <c r="B535">
        <v>565.85</v>
      </c>
      <c r="C535">
        <v>565.85</v>
      </c>
    </row>
    <row r="536" spans="1:3" x14ac:dyDescent="0.3">
      <c r="A536">
        <v>3</v>
      </c>
      <c r="B536">
        <v>648.59</v>
      </c>
      <c r="C536">
        <v>1945.77</v>
      </c>
    </row>
    <row r="537" spans="1:3" x14ac:dyDescent="0.3">
      <c r="A537">
        <v>3</v>
      </c>
      <c r="B537">
        <v>68.12</v>
      </c>
      <c r="C537">
        <v>204.36</v>
      </c>
    </row>
    <row r="538" spans="1:3" x14ac:dyDescent="0.3">
      <c r="A538">
        <v>1</v>
      </c>
      <c r="B538">
        <v>616.1</v>
      </c>
      <c r="C538">
        <v>616.1</v>
      </c>
    </row>
    <row r="539" spans="1:3" x14ac:dyDescent="0.3">
      <c r="A539">
        <v>3</v>
      </c>
      <c r="B539">
        <v>247.47</v>
      </c>
      <c r="C539">
        <v>742.41</v>
      </c>
    </row>
    <row r="540" spans="1:3" x14ac:dyDescent="0.3">
      <c r="A540">
        <v>3</v>
      </c>
      <c r="B540">
        <v>490.74</v>
      </c>
      <c r="C540">
        <v>1472.22</v>
      </c>
    </row>
    <row r="541" spans="1:3" x14ac:dyDescent="0.3">
      <c r="A541">
        <v>3</v>
      </c>
      <c r="B541">
        <v>531.72</v>
      </c>
      <c r="C541">
        <v>1595.16</v>
      </c>
    </row>
    <row r="542" spans="1:3" x14ac:dyDescent="0.3">
      <c r="A542">
        <v>5</v>
      </c>
      <c r="B542">
        <v>648.65</v>
      </c>
      <c r="C542">
        <v>3243.25</v>
      </c>
    </row>
    <row r="543" spans="1:3" x14ac:dyDescent="0.3">
      <c r="A543">
        <v>5</v>
      </c>
      <c r="B543">
        <v>456.06</v>
      </c>
      <c r="C543">
        <v>2280.3000000000002</v>
      </c>
    </row>
    <row r="544" spans="1:3" x14ac:dyDescent="0.3">
      <c r="A544">
        <v>1</v>
      </c>
      <c r="B544">
        <v>17.98</v>
      </c>
      <c r="C544">
        <v>17.98</v>
      </c>
    </row>
    <row r="545" spans="1:3" x14ac:dyDescent="0.3">
      <c r="A545">
        <v>5</v>
      </c>
      <c r="B545">
        <v>269.86</v>
      </c>
      <c r="C545">
        <v>1349.3</v>
      </c>
    </row>
    <row r="546" spans="1:3" x14ac:dyDescent="0.3">
      <c r="A546">
        <v>5</v>
      </c>
      <c r="B546">
        <v>31.96</v>
      </c>
      <c r="C546">
        <v>159.80000000000001</v>
      </c>
    </row>
    <row r="547" spans="1:3" x14ac:dyDescent="0.3">
      <c r="A547">
        <v>2</v>
      </c>
      <c r="B547">
        <v>98.47</v>
      </c>
      <c r="C547">
        <v>196.94</v>
      </c>
    </row>
    <row r="548" spans="1:3" x14ac:dyDescent="0.3">
      <c r="A548">
        <v>1</v>
      </c>
      <c r="B548">
        <v>158.68</v>
      </c>
      <c r="C548">
        <v>158.68</v>
      </c>
    </row>
    <row r="549" spans="1:3" x14ac:dyDescent="0.3">
      <c r="A549">
        <v>1</v>
      </c>
      <c r="B549">
        <v>613.98</v>
      </c>
      <c r="C549">
        <v>613.98</v>
      </c>
    </row>
    <row r="550" spans="1:3" x14ac:dyDescent="0.3">
      <c r="A550">
        <v>3</v>
      </c>
      <c r="B550">
        <v>426.12</v>
      </c>
      <c r="C550">
        <v>1278.3599999999999</v>
      </c>
    </row>
    <row r="551" spans="1:3" x14ac:dyDescent="0.3">
      <c r="A551">
        <v>4</v>
      </c>
      <c r="B551">
        <v>629.88</v>
      </c>
      <c r="C551">
        <v>2519.52</v>
      </c>
    </row>
    <row r="552" spans="1:3" x14ac:dyDescent="0.3">
      <c r="A552">
        <v>4</v>
      </c>
      <c r="B552">
        <v>228.91</v>
      </c>
      <c r="C552">
        <v>915.64</v>
      </c>
    </row>
    <row r="553" spans="1:3" x14ac:dyDescent="0.3">
      <c r="A553">
        <v>1</v>
      </c>
      <c r="B553">
        <v>120.98</v>
      </c>
      <c r="C553">
        <v>120.98</v>
      </c>
    </row>
    <row r="554" spans="1:3" x14ac:dyDescent="0.3">
      <c r="A554">
        <v>4</v>
      </c>
      <c r="B554">
        <v>425.18</v>
      </c>
      <c r="C554">
        <v>1700.72</v>
      </c>
    </row>
    <row r="555" spans="1:3" x14ac:dyDescent="0.3">
      <c r="A555">
        <v>2</v>
      </c>
      <c r="B555">
        <v>333.83</v>
      </c>
      <c r="C555">
        <v>667.66</v>
      </c>
    </row>
    <row r="556" spans="1:3" x14ac:dyDescent="0.3">
      <c r="A556">
        <v>2</v>
      </c>
      <c r="B556">
        <v>492.9</v>
      </c>
      <c r="C556">
        <v>985.8</v>
      </c>
    </row>
    <row r="557" spans="1:3" x14ac:dyDescent="0.3">
      <c r="A557">
        <v>1</v>
      </c>
      <c r="B557">
        <v>92.04</v>
      </c>
      <c r="C557">
        <v>92.04</v>
      </c>
    </row>
    <row r="558" spans="1:3" x14ac:dyDescent="0.3">
      <c r="A558">
        <v>1</v>
      </c>
      <c r="B558">
        <v>654.27</v>
      </c>
      <c r="C558">
        <v>654.27</v>
      </c>
    </row>
    <row r="559" spans="1:3" x14ac:dyDescent="0.3">
      <c r="A559">
        <v>1</v>
      </c>
      <c r="B559">
        <v>56.2</v>
      </c>
      <c r="C559">
        <v>56.2</v>
      </c>
    </row>
    <row r="560" spans="1:3" x14ac:dyDescent="0.3">
      <c r="A560">
        <v>4</v>
      </c>
      <c r="B560">
        <v>628.12</v>
      </c>
      <c r="C560">
        <v>2512.48</v>
      </c>
    </row>
    <row r="561" spans="1:3" x14ac:dyDescent="0.3">
      <c r="A561">
        <v>3</v>
      </c>
      <c r="B561">
        <v>157.4</v>
      </c>
      <c r="C561">
        <v>472.2</v>
      </c>
    </row>
    <row r="562" spans="1:3" x14ac:dyDescent="0.3">
      <c r="A562">
        <v>4</v>
      </c>
      <c r="B562">
        <v>588.85</v>
      </c>
      <c r="C562">
        <v>2355.4</v>
      </c>
    </row>
    <row r="563" spans="1:3" x14ac:dyDescent="0.3">
      <c r="A563">
        <v>2</v>
      </c>
      <c r="B563">
        <v>494.78</v>
      </c>
      <c r="C563">
        <v>989.56</v>
      </c>
    </row>
    <row r="564" spans="1:3" x14ac:dyDescent="0.3">
      <c r="A564">
        <v>3</v>
      </c>
      <c r="B564">
        <v>663.93</v>
      </c>
      <c r="C564">
        <v>1991.79</v>
      </c>
    </row>
    <row r="565" spans="1:3" x14ac:dyDescent="0.3">
      <c r="A565">
        <v>1</v>
      </c>
      <c r="B565">
        <v>132.68</v>
      </c>
      <c r="C565">
        <v>132.68</v>
      </c>
    </row>
    <row r="566" spans="1:3" x14ac:dyDescent="0.3">
      <c r="A566">
        <v>5</v>
      </c>
      <c r="B566">
        <v>364.28</v>
      </c>
      <c r="C566">
        <v>1821.4</v>
      </c>
    </row>
    <row r="567" spans="1:3" x14ac:dyDescent="0.3">
      <c r="A567">
        <v>5</v>
      </c>
      <c r="B567">
        <v>307.98</v>
      </c>
      <c r="C567">
        <v>1539.9</v>
      </c>
    </row>
    <row r="568" spans="1:3" x14ac:dyDescent="0.3">
      <c r="A568">
        <v>4</v>
      </c>
      <c r="B568">
        <v>162.71</v>
      </c>
      <c r="C568">
        <v>650.84</v>
      </c>
    </row>
    <row r="569" spans="1:3" x14ac:dyDescent="0.3">
      <c r="A569">
        <v>5</v>
      </c>
      <c r="B569">
        <v>492.94</v>
      </c>
      <c r="C569">
        <v>2464.6999999999998</v>
      </c>
    </row>
    <row r="570" spans="1:3" x14ac:dyDescent="0.3">
      <c r="A570">
        <v>2</v>
      </c>
      <c r="B570">
        <v>343.99</v>
      </c>
      <c r="C570">
        <v>687.98</v>
      </c>
    </row>
    <row r="571" spans="1:3" x14ac:dyDescent="0.3">
      <c r="A571">
        <v>5</v>
      </c>
      <c r="B571">
        <v>250.68</v>
      </c>
      <c r="C571">
        <v>1253.4000000000001</v>
      </c>
    </row>
    <row r="572" spans="1:3" x14ac:dyDescent="0.3">
      <c r="A572">
        <v>2</v>
      </c>
      <c r="B572">
        <v>362.14</v>
      </c>
      <c r="C572">
        <v>724.28</v>
      </c>
    </row>
    <row r="573" spans="1:3" x14ac:dyDescent="0.3">
      <c r="A573">
        <v>1</v>
      </c>
      <c r="B573">
        <v>214.08</v>
      </c>
      <c r="C573">
        <v>214.08</v>
      </c>
    </row>
    <row r="574" spans="1:3" x14ac:dyDescent="0.3">
      <c r="A574">
        <v>1</v>
      </c>
      <c r="B574">
        <v>70.319999999999993</v>
      </c>
      <c r="C574">
        <v>70.319999999999993</v>
      </c>
    </row>
    <row r="575" spans="1:3" x14ac:dyDescent="0.3">
      <c r="A575">
        <v>5</v>
      </c>
      <c r="B575">
        <v>421.42</v>
      </c>
      <c r="C575">
        <v>2107.1</v>
      </c>
    </row>
    <row r="576" spans="1:3" x14ac:dyDescent="0.3">
      <c r="A576">
        <v>5</v>
      </c>
      <c r="B576">
        <v>384.69</v>
      </c>
      <c r="C576">
        <v>1923.45</v>
      </c>
    </row>
    <row r="577" spans="1:3" x14ac:dyDescent="0.3">
      <c r="A577">
        <v>5</v>
      </c>
      <c r="B577">
        <v>448.15</v>
      </c>
      <c r="C577">
        <v>2240.75</v>
      </c>
    </row>
    <row r="578" spans="1:3" x14ac:dyDescent="0.3">
      <c r="A578">
        <v>5</v>
      </c>
      <c r="B578">
        <v>79.08</v>
      </c>
      <c r="C578">
        <v>395.4</v>
      </c>
    </row>
    <row r="579" spans="1:3" x14ac:dyDescent="0.3">
      <c r="A579">
        <v>4</v>
      </c>
      <c r="B579">
        <v>185.41</v>
      </c>
      <c r="C579">
        <v>741.64</v>
      </c>
    </row>
    <row r="580" spans="1:3" x14ac:dyDescent="0.3">
      <c r="A580">
        <v>5</v>
      </c>
      <c r="B580">
        <v>566.07000000000005</v>
      </c>
      <c r="C580">
        <v>2830.35</v>
      </c>
    </row>
    <row r="581" spans="1:3" x14ac:dyDescent="0.3">
      <c r="A581">
        <v>2</v>
      </c>
      <c r="B581">
        <v>187.88</v>
      </c>
      <c r="C581">
        <v>375.76</v>
      </c>
    </row>
    <row r="582" spans="1:3" x14ac:dyDescent="0.3">
      <c r="A582">
        <v>2</v>
      </c>
      <c r="B582">
        <v>255.99</v>
      </c>
      <c r="C582">
        <v>511.98</v>
      </c>
    </row>
    <row r="583" spans="1:3" x14ac:dyDescent="0.3">
      <c r="A583">
        <v>1</v>
      </c>
      <c r="B583">
        <v>627.34</v>
      </c>
      <c r="C583">
        <v>627.34</v>
      </c>
    </row>
    <row r="584" spans="1:3" x14ac:dyDescent="0.3">
      <c r="A584">
        <v>3</v>
      </c>
      <c r="B584">
        <v>474.14</v>
      </c>
      <c r="C584">
        <v>1422.42</v>
      </c>
    </row>
    <row r="585" spans="1:3" x14ac:dyDescent="0.3">
      <c r="A585">
        <v>3</v>
      </c>
      <c r="B585">
        <v>154.37</v>
      </c>
      <c r="C585">
        <v>463.11</v>
      </c>
    </row>
    <row r="586" spans="1:3" x14ac:dyDescent="0.3">
      <c r="A586">
        <v>4</v>
      </c>
      <c r="B586">
        <v>145.05000000000001</v>
      </c>
      <c r="C586">
        <v>580.20000000000005</v>
      </c>
    </row>
    <row r="587" spans="1:3" x14ac:dyDescent="0.3">
      <c r="A587">
        <v>4</v>
      </c>
      <c r="B587">
        <v>67.08</v>
      </c>
      <c r="C587">
        <v>268.32</v>
      </c>
    </row>
    <row r="588" spans="1:3" x14ac:dyDescent="0.3">
      <c r="A588">
        <v>1</v>
      </c>
      <c r="B588">
        <v>522.08000000000004</v>
      </c>
      <c r="C588">
        <v>522.08000000000004</v>
      </c>
    </row>
    <row r="589" spans="1:3" x14ac:dyDescent="0.3">
      <c r="A589">
        <v>5</v>
      </c>
      <c r="B589">
        <v>514.6</v>
      </c>
      <c r="C589">
        <v>2573</v>
      </c>
    </row>
    <row r="590" spans="1:3" x14ac:dyDescent="0.3">
      <c r="A590">
        <v>4</v>
      </c>
      <c r="B590">
        <v>577.82000000000005</v>
      </c>
      <c r="C590">
        <v>2311.2800000000002</v>
      </c>
    </row>
    <row r="591" spans="1:3" x14ac:dyDescent="0.3">
      <c r="A591">
        <v>2</v>
      </c>
      <c r="B591">
        <v>500.8</v>
      </c>
      <c r="C591">
        <v>1001.6</v>
      </c>
    </row>
    <row r="592" spans="1:3" x14ac:dyDescent="0.3">
      <c r="A592">
        <v>2</v>
      </c>
      <c r="B592">
        <v>461.13</v>
      </c>
      <c r="C592">
        <v>922.26</v>
      </c>
    </row>
    <row r="593" spans="1:3" x14ac:dyDescent="0.3">
      <c r="A593">
        <v>1</v>
      </c>
      <c r="B593">
        <v>605.28</v>
      </c>
      <c r="C593">
        <v>605.28</v>
      </c>
    </row>
    <row r="594" spans="1:3" x14ac:dyDescent="0.3">
      <c r="A594">
        <v>3</v>
      </c>
      <c r="B594">
        <v>204.27</v>
      </c>
      <c r="C594">
        <v>612.81000000000006</v>
      </c>
    </row>
    <row r="595" spans="1:3" x14ac:dyDescent="0.3">
      <c r="A595">
        <v>1</v>
      </c>
      <c r="B595">
        <v>489.8</v>
      </c>
      <c r="C595">
        <v>489.8</v>
      </c>
    </row>
    <row r="596" spans="1:3" x14ac:dyDescent="0.3">
      <c r="A596">
        <v>5</v>
      </c>
      <c r="B596">
        <v>72.64</v>
      </c>
      <c r="C596">
        <v>363.2</v>
      </c>
    </row>
    <row r="597" spans="1:3" x14ac:dyDescent="0.3">
      <c r="A597">
        <v>2</v>
      </c>
      <c r="B597">
        <v>385.16</v>
      </c>
      <c r="C597">
        <v>770.32</v>
      </c>
    </row>
    <row r="598" spans="1:3" x14ac:dyDescent="0.3">
      <c r="A598">
        <v>3</v>
      </c>
      <c r="B598">
        <v>606.41</v>
      </c>
      <c r="C598">
        <v>1819.23</v>
      </c>
    </row>
    <row r="599" spans="1:3" x14ac:dyDescent="0.3">
      <c r="A599">
        <v>2</v>
      </c>
      <c r="B599">
        <v>211.82</v>
      </c>
      <c r="C599">
        <v>423.64</v>
      </c>
    </row>
    <row r="600" spans="1:3" x14ac:dyDescent="0.3">
      <c r="A600">
        <v>5</v>
      </c>
      <c r="B600">
        <v>495.35</v>
      </c>
      <c r="C600">
        <v>2476.75</v>
      </c>
    </row>
    <row r="601" spans="1:3" x14ac:dyDescent="0.3">
      <c r="A601">
        <v>3</v>
      </c>
      <c r="B601">
        <v>556.99</v>
      </c>
      <c r="C601">
        <v>1670.97</v>
      </c>
    </row>
    <row r="602" spans="1:3" x14ac:dyDescent="0.3">
      <c r="A602">
        <v>1</v>
      </c>
      <c r="B602">
        <v>72.31</v>
      </c>
      <c r="C602">
        <v>72.31</v>
      </c>
    </row>
    <row r="603" spans="1:3" x14ac:dyDescent="0.3">
      <c r="A603">
        <v>5</v>
      </c>
      <c r="B603">
        <v>24.82</v>
      </c>
      <c r="C603">
        <v>124.1</v>
      </c>
    </row>
    <row r="604" spans="1:3" x14ac:dyDescent="0.3">
      <c r="A604">
        <v>4</v>
      </c>
      <c r="B604">
        <v>26.04</v>
      </c>
      <c r="C604">
        <v>104.16</v>
      </c>
    </row>
    <row r="605" spans="1:3" x14ac:dyDescent="0.3">
      <c r="A605">
        <v>1</v>
      </c>
      <c r="B605">
        <v>657.07</v>
      </c>
      <c r="C605">
        <v>657.07</v>
      </c>
    </row>
    <row r="606" spans="1:3" x14ac:dyDescent="0.3">
      <c r="A606">
        <v>3</v>
      </c>
      <c r="B606">
        <v>32.619999999999997</v>
      </c>
      <c r="C606">
        <v>97.859999999999985</v>
      </c>
    </row>
    <row r="607" spans="1:3" x14ac:dyDescent="0.3">
      <c r="A607">
        <v>2</v>
      </c>
      <c r="B607">
        <v>228.91</v>
      </c>
      <c r="C607">
        <v>457.82</v>
      </c>
    </row>
    <row r="608" spans="1:3" x14ac:dyDescent="0.3">
      <c r="A608">
        <v>3</v>
      </c>
      <c r="B608">
        <v>274.75</v>
      </c>
      <c r="C608">
        <v>824.25</v>
      </c>
    </row>
    <row r="609" spans="1:3" x14ac:dyDescent="0.3">
      <c r="A609">
        <v>4</v>
      </c>
      <c r="B609">
        <v>634.04999999999995</v>
      </c>
      <c r="C609">
        <v>2536.1999999999998</v>
      </c>
    </row>
    <row r="610" spans="1:3" x14ac:dyDescent="0.3">
      <c r="A610">
        <v>5</v>
      </c>
      <c r="B610">
        <v>543.16</v>
      </c>
      <c r="C610">
        <v>2715.8</v>
      </c>
    </row>
    <row r="611" spans="1:3" x14ac:dyDescent="0.3">
      <c r="A611">
        <v>3</v>
      </c>
      <c r="B611">
        <v>449.13</v>
      </c>
      <c r="C611">
        <v>1347.39</v>
      </c>
    </row>
    <row r="612" spans="1:3" x14ac:dyDescent="0.3">
      <c r="A612">
        <v>5</v>
      </c>
      <c r="B612">
        <v>389.62</v>
      </c>
      <c r="C612">
        <v>1948.1</v>
      </c>
    </row>
    <row r="613" spans="1:3" x14ac:dyDescent="0.3">
      <c r="A613">
        <v>1</v>
      </c>
      <c r="B613">
        <v>305.17</v>
      </c>
      <c r="C613">
        <v>305.17</v>
      </c>
    </row>
    <row r="614" spans="1:3" x14ac:dyDescent="0.3">
      <c r="A614">
        <v>3</v>
      </c>
      <c r="B614">
        <v>445.12</v>
      </c>
      <c r="C614">
        <v>1335.36</v>
      </c>
    </row>
    <row r="615" spans="1:3" x14ac:dyDescent="0.3">
      <c r="A615">
        <v>2</v>
      </c>
      <c r="B615">
        <v>230.36</v>
      </c>
      <c r="C615">
        <v>460.72</v>
      </c>
    </row>
    <row r="616" spans="1:3" x14ac:dyDescent="0.3">
      <c r="A616">
        <v>1</v>
      </c>
      <c r="B616">
        <v>96.81</v>
      </c>
      <c r="C616">
        <v>96.81</v>
      </c>
    </row>
    <row r="617" spans="1:3" x14ac:dyDescent="0.3">
      <c r="A617">
        <v>5</v>
      </c>
      <c r="B617">
        <v>460.14</v>
      </c>
      <c r="C617">
        <v>2300.6999999999998</v>
      </c>
    </row>
    <row r="618" spans="1:3" x14ac:dyDescent="0.3">
      <c r="A618">
        <v>3</v>
      </c>
      <c r="B618">
        <v>601.6</v>
      </c>
      <c r="C618">
        <v>1804.8</v>
      </c>
    </row>
    <row r="619" spans="1:3" x14ac:dyDescent="0.3">
      <c r="A619">
        <v>3</v>
      </c>
      <c r="B619">
        <v>184.47</v>
      </c>
      <c r="C619">
        <v>553.41</v>
      </c>
    </row>
    <row r="620" spans="1:3" x14ac:dyDescent="0.3">
      <c r="A620">
        <v>1</v>
      </c>
      <c r="B620">
        <v>411.34</v>
      </c>
      <c r="C620">
        <v>411.34</v>
      </c>
    </row>
    <row r="621" spans="1:3" x14ac:dyDescent="0.3">
      <c r="A621">
        <v>1</v>
      </c>
      <c r="B621">
        <v>532.89</v>
      </c>
      <c r="C621">
        <v>532.89</v>
      </c>
    </row>
    <row r="622" spans="1:3" x14ac:dyDescent="0.3">
      <c r="A622">
        <v>3</v>
      </c>
      <c r="B622">
        <v>136.34</v>
      </c>
      <c r="C622">
        <v>409.02</v>
      </c>
    </row>
    <row r="623" spans="1:3" x14ac:dyDescent="0.3">
      <c r="A623">
        <v>5</v>
      </c>
      <c r="B623">
        <v>476.01</v>
      </c>
      <c r="C623">
        <v>2380.0500000000002</v>
      </c>
    </row>
    <row r="624" spans="1:3" x14ac:dyDescent="0.3">
      <c r="A624">
        <v>5</v>
      </c>
      <c r="B624">
        <v>236.38</v>
      </c>
      <c r="C624">
        <v>1181.9000000000001</v>
      </c>
    </row>
    <row r="625" spans="1:3" x14ac:dyDescent="0.3">
      <c r="A625">
        <v>3</v>
      </c>
      <c r="B625">
        <v>396</v>
      </c>
      <c r="C625">
        <v>1188</v>
      </c>
    </row>
    <row r="626" spans="1:3" x14ac:dyDescent="0.3">
      <c r="A626">
        <v>5</v>
      </c>
      <c r="B626">
        <v>341.96</v>
      </c>
      <c r="C626">
        <v>1709.8</v>
      </c>
    </row>
    <row r="627" spans="1:3" x14ac:dyDescent="0.3">
      <c r="A627">
        <v>1</v>
      </c>
      <c r="B627">
        <v>672.89</v>
      </c>
      <c r="C627">
        <v>672.89</v>
      </c>
    </row>
    <row r="628" spans="1:3" x14ac:dyDescent="0.3">
      <c r="A628">
        <v>2</v>
      </c>
      <c r="B628">
        <v>657.48</v>
      </c>
      <c r="C628">
        <v>1314.96</v>
      </c>
    </row>
    <row r="629" spans="1:3" x14ac:dyDescent="0.3">
      <c r="A629">
        <v>3</v>
      </c>
      <c r="B629">
        <v>498.68</v>
      </c>
      <c r="C629">
        <v>1496.04</v>
      </c>
    </row>
    <row r="630" spans="1:3" x14ac:dyDescent="0.3">
      <c r="A630">
        <v>5</v>
      </c>
      <c r="B630">
        <v>558.63</v>
      </c>
      <c r="C630">
        <v>2793.15</v>
      </c>
    </row>
    <row r="631" spans="1:3" x14ac:dyDescent="0.3">
      <c r="A631">
        <v>3</v>
      </c>
      <c r="B631">
        <v>19.73</v>
      </c>
      <c r="C631">
        <v>59.19</v>
      </c>
    </row>
    <row r="632" spans="1:3" x14ac:dyDescent="0.3">
      <c r="A632">
        <v>5</v>
      </c>
      <c r="B632">
        <v>248.84</v>
      </c>
      <c r="C632">
        <v>1244.2</v>
      </c>
    </row>
    <row r="633" spans="1:3" x14ac:dyDescent="0.3">
      <c r="A633">
        <v>3</v>
      </c>
      <c r="B633">
        <v>46.11</v>
      </c>
      <c r="C633">
        <v>138.33000000000001</v>
      </c>
    </row>
    <row r="634" spans="1:3" x14ac:dyDescent="0.3">
      <c r="A634">
        <v>5</v>
      </c>
      <c r="B634">
        <v>678.16</v>
      </c>
      <c r="C634">
        <v>3390.8</v>
      </c>
    </row>
    <row r="635" spans="1:3" x14ac:dyDescent="0.3">
      <c r="A635">
        <v>5</v>
      </c>
      <c r="B635">
        <v>601.72</v>
      </c>
      <c r="C635">
        <v>3008.6</v>
      </c>
    </row>
    <row r="636" spans="1:3" x14ac:dyDescent="0.3">
      <c r="A636">
        <v>2</v>
      </c>
      <c r="B636">
        <v>259.32</v>
      </c>
      <c r="C636">
        <v>518.64</v>
      </c>
    </row>
    <row r="637" spans="1:3" x14ac:dyDescent="0.3">
      <c r="A637">
        <v>3</v>
      </c>
      <c r="B637">
        <v>63.68</v>
      </c>
      <c r="C637">
        <v>191.04</v>
      </c>
    </row>
    <row r="638" spans="1:3" x14ac:dyDescent="0.3">
      <c r="A638">
        <v>4</v>
      </c>
      <c r="B638">
        <v>371.07</v>
      </c>
      <c r="C638">
        <v>1484.28</v>
      </c>
    </row>
    <row r="639" spans="1:3" x14ac:dyDescent="0.3">
      <c r="A639">
        <v>4</v>
      </c>
      <c r="B639">
        <v>306.35000000000002</v>
      </c>
      <c r="C639">
        <v>1225.4000000000001</v>
      </c>
    </row>
    <row r="640" spans="1:3" x14ac:dyDescent="0.3">
      <c r="A640">
        <v>4</v>
      </c>
      <c r="B640">
        <v>578.27</v>
      </c>
      <c r="C640">
        <v>2313.08</v>
      </c>
    </row>
    <row r="641" spans="1:3" x14ac:dyDescent="0.3">
      <c r="A641">
        <v>1</v>
      </c>
      <c r="B641">
        <v>529.19000000000005</v>
      </c>
      <c r="C641">
        <v>529.19000000000005</v>
      </c>
    </row>
    <row r="642" spans="1:3" x14ac:dyDescent="0.3">
      <c r="A642">
        <v>2</v>
      </c>
      <c r="B642">
        <v>587.49</v>
      </c>
      <c r="C642">
        <v>1174.98</v>
      </c>
    </row>
    <row r="643" spans="1:3" x14ac:dyDescent="0.3">
      <c r="A643">
        <v>4</v>
      </c>
      <c r="B643">
        <v>567.57000000000005</v>
      </c>
      <c r="C643">
        <v>2270.2800000000002</v>
      </c>
    </row>
    <row r="644" spans="1:3" x14ac:dyDescent="0.3">
      <c r="A644">
        <v>5</v>
      </c>
      <c r="B644">
        <v>85.22</v>
      </c>
      <c r="C644">
        <v>426.1</v>
      </c>
    </row>
    <row r="645" spans="1:3" x14ac:dyDescent="0.3">
      <c r="A645">
        <v>1</v>
      </c>
      <c r="B645">
        <v>438.37</v>
      </c>
      <c r="C645">
        <v>438.37</v>
      </c>
    </row>
    <row r="646" spans="1:3" x14ac:dyDescent="0.3">
      <c r="A646">
        <v>2</v>
      </c>
      <c r="B646">
        <v>366.23</v>
      </c>
      <c r="C646">
        <v>732.46</v>
      </c>
    </row>
    <row r="647" spans="1:3" x14ac:dyDescent="0.3">
      <c r="A647">
        <v>2</v>
      </c>
      <c r="B647">
        <v>150.05000000000001</v>
      </c>
      <c r="C647">
        <v>300.10000000000002</v>
      </c>
    </row>
    <row r="648" spans="1:3" x14ac:dyDescent="0.3">
      <c r="A648">
        <v>4</v>
      </c>
      <c r="B648">
        <v>498.51</v>
      </c>
      <c r="C648">
        <v>1994.04</v>
      </c>
    </row>
    <row r="649" spans="1:3" x14ac:dyDescent="0.3">
      <c r="A649">
        <v>3</v>
      </c>
      <c r="B649">
        <v>339.39</v>
      </c>
      <c r="C649">
        <v>1018.17</v>
      </c>
    </row>
    <row r="650" spans="1:3" x14ac:dyDescent="0.3">
      <c r="A650">
        <v>2</v>
      </c>
      <c r="B650">
        <v>575.83000000000004</v>
      </c>
      <c r="C650">
        <v>1151.6600000000001</v>
      </c>
    </row>
    <row r="651" spans="1:3" x14ac:dyDescent="0.3">
      <c r="A651">
        <v>2</v>
      </c>
      <c r="B651">
        <v>642.98</v>
      </c>
      <c r="C651">
        <v>1285.96</v>
      </c>
    </row>
    <row r="652" spans="1:3" x14ac:dyDescent="0.3">
      <c r="A652">
        <v>2</v>
      </c>
      <c r="B652">
        <v>372.23</v>
      </c>
      <c r="C652">
        <v>744.46</v>
      </c>
    </row>
    <row r="653" spans="1:3" x14ac:dyDescent="0.3">
      <c r="A653">
        <v>3</v>
      </c>
      <c r="B653">
        <v>646.34</v>
      </c>
      <c r="C653">
        <v>1939.02</v>
      </c>
    </row>
    <row r="654" spans="1:3" x14ac:dyDescent="0.3">
      <c r="A654">
        <v>5</v>
      </c>
      <c r="B654">
        <v>341.84</v>
      </c>
      <c r="C654">
        <v>1709.2</v>
      </c>
    </row>
    <row r="655" spans="1:3" x14ac:dyDescent="0.3">
      <c r="A655">
        <v>3</v>
      </c>
      <c r="B655">
        <v>690.3</v>
      </c>
      <c r="C655">
        <v>2070.9</v>
      </c>
    </row>
    <row r="656" spans="1:3" x14ac:dyDescent="0.3">
      <c r="A656">
        <v>3</v>
      </c>
      <c r="B656">
        <v>382.37</v>
      </c>
      <c r="C656">
        <v>1147.1099999999999</v>
      </c>
    </row>
    <row r="657" spans="1:3" x14ac:dyDescent="0.3">
      <c r="A657">
        <v>2</v>
      </c>
      <c r="B657">
        <v>132.6</v>
      </c>
      <c r="C657">
        <v>265.2</v>
      </c>
    </row>
    <row r="658" spans="1:3" x14ac:dyDescent="0.3">
      <c r="A658">
        <v>2</v>
      </c>
      <c r="B658">
        <v>189.06</v>
      </c>
      <c r="C658">
        <v>378.12</v>
      </c>
    </row>
    <row r="659" spans="1:3" x14ac:dyDescent="0.3">
      <c r="A659">
        <v>4</v>
      </c>
      <c r="B659">
        <v>87.79</v>
      </c>
      <c r="C659">
        <v>351.16</v>
      </c>
    </row>
    <row r="660" spans="1:3" x14ac:dyDescent="0.3">
      <c r="A660">
        <v>2</v>
      </c>
      <c r="B660">
        <v>46.36</v>
      </c>
      <c r="C660">
        <v>92.72</v>
      </c>
    </row>
    <row r="661" spans="1:3" x14ac:dyDescent="0.3">
      <c r="A661">
        <v>2</v>
      </c>
      <c r="B661">
        <v>642.04</v>
      </c>
      <c r="C661">
        <v>1284.08</v>
      </c>
    </row>
    <row r="662" spans="1:3" x14ac:dyDescent="0.3">
      <c r="A662">
        <v>2</v>
      </c>
      <c r="B662">
        <v>651.57000000000005</v>
      </c>
      <c r="C662">
        <v>1303.1400000000001</v>
      </c>
    </row>
    <row r="663" spans="1:3" x14ac:dyDescent="0.3">
      <c r="A663">
        <v>3</v>
      </c>
      <c r="B663">
        <v>424.89</v>
      </c>
      <c r="C663">
        <v>1274.67</v>
      </c>
    </row>
    <row r="664" spans="1:3" x14ac:dyDescent="0.3">
      <c r="A664">
        <v>3</v>
      </c>
      <c r="B664">
        <v>438.89</v>
      </c>
      <c r="C664">
        <v>1316.67</v>
      </c>
    </row>
    <row r="665" spans="1:3" x14ac:dyDescent="0.3">
      <c r="A665">
        <v>1</v>
      </c>
      <c r="B665">
        <v>72.599999999999994</v>
      </c>
      <c r="C665">
        <v>72.599999999999994</v>
      </c>
    </row>
    <row r="666" spans="1:3" x14ac:dyDescent="0.3">
      <c r="A666">
        <v>4</v>
      </c>
      <c r="B666">
        <v>194.75</v>
      </c>
      <c r="C666">
        <v>779</v>
      </c>
    </row>
    <row r="667" spans="1:3" x14ac:dyDescent="0.3">
      <c r="A667">
        <v>4</v>
      </c>
      <c r="B667">
        <v>231.26</v>
      </c>
      <c r="C667">
        <v>925.04</v>
      </c>
    </row>
    <row r="668" spans="1:3" x14ac:dyDescent="0.3">
      <c r="A668">
        <v>4</v>
      </c>
      <c r="B668">
        <v>327.12</v>
      </c>
      <c r="C668">
        <v>1308.48</v>
      </c>
    </row>
    <row r="669" spans="1:3" x14ac:dyDescent="0.3">
      <c r="A669">
        <v>1</v>
      </c>
      <c r="B669">
        <v>466.42</v>
      </c>
      <c r="C669">
        <v>466.42</v>
      </c>
    </row>
    <row r="670" spans="1:3" x14ac:dyDescent="0.3">
      <c r="A670">
        <v>2</v>
      </c>
      <c r="B670">
        <v>253.67</v>
      </c>
      <c r="C670">
        <v>507.34</v>
      </c>
    </row>
    <row r="671" spans="1:3" x14ac:dyDescent="0.3">
      <c r="A671">
        <v>1</v>
      </c>
      <c r="B671">
        <v>257</v>
      </c>
      <c r="C671">
        <v>257</v>
      </c>
    </row>
    <row r="672" spans="1:3" x14ac:dyDescent="0.3">
      <c r="A672">
        <v>4</v>
      </c>
      <c r="B672">
        <v>539.20000000000005</v>
      </c>
      <c r="C672">
        <v>2156.8000000000002</v>
      </c>
    </row>
    <row r="673" spans="1:3" x14ac:dyDescent="0.3">
      <c r="A673">
        <v>5</v>
      </c>
      <c r="B673">
        <v>50.74</v>
      </c>
      <c r="C673">
        <v>253.7</v>
      </c>
    </row>
    <row r="674" spans="1:3" x14ac:dyDescent="0.3">
      <c r="A674">
        <v>2</v>
      </c>
      <c r="B674">
        <v>624.16</v>
      </c>
      <c r="C674">
        <v>1248.32</v>
      </c>
    </row>
    <row r="675" spans="1:3" x14ac:dyDescent="0.3">
      <c r="A675">
        <v>2</v>
      </c>
      <c r="B675">
        <v>372.92</v>
      </c>
      <c r="C675">
        <v>745.84</v>
      </c>
    </row>
    <row r="676" spans="1:3" x14ac:dyDescent="0.3">
      <c r="A676">
        <v>4</v>
      </c>
      <c r="B676">
        <v>358.75</v>
      </c>
      <c r="C676">
        <v>1435</v>
      </c>
    </row>
    <row r="677" spans="1:3" x14ac:dyDescent="0.3">
      <c r="A677">
        <v>3</v>
      </c>
      <c r="B677">
        <v>342.02</v>
      </c>
      <c r="C677">
        <v>1026.06</v>
      </c>
    </row>
    <row r="678" spans="1:3" x14ac:dyDescent="0.3">
      <c r="A678">
        <v>2</v>
      </c>
      <c r="B678">
        <v>422.34</v>
      </c>
      <c r="C678">
        <v>844.68</v>
      </c>
    </row>
    <row r="679" spans="1:3" x14ac:dyDescent="0.3">
      <c r="A679">
        <v>5</v>
      </c>
      <c r="B679">
        <v>22.07</v>
      </c>
      <c r="C679">
        <v>110.35</v>
      </c>
    </row>
    <row r="680" spans="1:3" x14ac:dyDescent="0.3">
      <c r="A680">
        <v>3</v>
      </c>
      <c r="B680">
        <v>163.13</v>
      </c>
      <c r="C680">
        <v>489.39</v>
      </c>
    </row>
    <row r="681" spans="1:3" x14ac:dyDescent="0.3">
      <c r="A681">
        <v>3</v>
      </c>
      <c r="B681">
        <v>360.66</v>
      </c>
      <c r="C681">
        <v>1081.98</v>
      </c>
    </row>
    <row r="682" spans="1:3" x14ac:dyDescent="0.3">
      <c r="A682">
        <v>3</v>
      </c>
      <c r="B682">
        <v>463.39</v>
      </c>
      <c r="C682">
        <v>1390.17</v>
      </c>
    </row>
    <row r="683" spans="1:3" x14ac:dyDescent="0.3">
      <c r="A683">
        <v>1</v>
      </c>
      <c r="B683">
        <v>155.27000000000001</v>
      </c>
      <c r="C683">
        <v>155.27000000000001</v>
      </c>
    </row>
    <row r="684" spans="1:3" x14ac:dyDescent="0.3">
      <c r="A684">
        <v>3</v>
      </c>
      <c r="B684">
        <v>509.42</v>
      </c>
      <c r="C684">
        <v>1528.26</v>
      </c>
    </row>
    <row r="685" spans="1:3" x14ac:dyDescent="0.3">
      <c r="A685">
        <v>4</v>
      </c>
      <c r="B685">
        <v>652.48</v>
      </c>
      <c r="C685">
        <v>2609.92</v>
      </c>
    </row>
    <row r="686" spans="1:3" x14ac:dyDescent="0.3">
      <c r="A686">
        <v>4</v>
      </c>
      <c r="B686">
        <v>34.840000000000003</v>
      </c>
      <c r="C686">
        <v>139.36000000000001</v>
      </c>
    </row>
    <row r="687" spans="1:3" x14ac:dyDescent="0.3">
      <c r="A687">
        <v>1</v>
      </c>
      <c r="B687">
        <v>234.37</v>
      </c>
      <c r="C687">
        <v>234.37</v>
      </c>
    </row>
    <row r="688" spans="1:3" x14ac:dyDescent="0.3">
      <c r="A688">
        <v>3</v>
      </c>
      <c r="B688">
        <v>53.6</v>
      </c>
      <c r="C688">
        <v>160.80000000000001</v>
      </c>
    </row>
    <row r="689" spans="1:3" x14ac:dyDescent="0.3">
      <c r="A689">
        <v>1</v>
      </c>
      <c r="B689">
        <v>332.09</v>
      </c>
      <c r="C689">
        <v>332.09</v>
      </c>
    </row>
    <row r="690" spans="1:3" x14ac:dyDescent="0.3">
      <c r="A690">
        <v>4</v>
      </c>
      <c r="B690">
        <v>593.22</v>
      </c>
      <c r="C690">
        <v>2372.88</v>
      </c>
    </row>
    <row r="691" spans="1:3" x14ac:dyDescent="0.3">
      <c r="A691">
        <v>2</v>
      </c>
      <c r="B691">
        <v>444.84</v>
      </c>
      <c r="C691">
        <v>889.68</v>
      </c>
    </row>
    <row r="692" spans="1:3" x14ac:dyDescent="0.3">
      <c r="A692">
        <v>1</v>
      </c>
      <c r="B692">
        <v>24.48</v>
      </c>
      <c r="C692">
        <v>24.48</v>
      </c>
    </row>
    <row r="693" spans="1:3" x14ac:dyDescent="0.3">
      <c r="A693">
        <v>3</v>
      </c>
      <c r="B693">
        <v>239.08</v>
      </c>
      <c r="C693">
        <v>717.24</v>
      </c>
    </row>
    <row r="694" spans="1:3" x14ac:dyDescent="0.3">
      <c r="A694">
        <v>5</v>
      </c>
      <c r="B694">
        <v>196.84</v>
      </c>
      <c r="C694">
        <v>984.2</v>
      </c>
    </row>
    <row r="695" spans="1:3" x14ac:dyDescent="0.3">
      <c r="A695">
        <v>1</v>
      </c>
      <c r="B695">
        <v>176.58</v>
      </c>
      <c r="C695">
        <v>176.58</v>
      </c>
    </row>
    <row r="696" spans="1:3" x14ac:dyDescent="0.3">
      <c r="A696">
        <v>4</v>
      </c>
      <c r="B696">
        <v>666.52</v>
      </c>
      <c r="C696">
        <v>2666.08</v>
      </c>
    </row>
    <row r="697" spans="1:3" x14ac:dyDescent="0.3">
      <c r="A697">
        <v>5</v>
      </c>
      <c r="B697">
        <v>101.3</v>
      </c>
      <c r="C697">
        <v>506.5</v>
      </c>
    </row>
    <row r="698" spans="1:3" x14ac:dyDescent="0.3">
      <c r="A698">
        <v>4</v>
      </c>
      <c r="B698">
        <v>151.19999999999999</v>
      </c>
      <c r="C698">
        <v>604.79999999999995</v>
      </c>
    </row>
    <row r="699" spans="1:3" x14ac:dyDescent="0.3">
      <c r="A699">
        <v>5</v>
      </c>
      <c r="B699">
        <v>94.85</v>
      </c>
      <c r="C699">
        <v>474.25</v>
      </c>
    </row>
    <row r="700" spans="1:3" x14ac:dyDescent="0.3">
      <c r="A700">
        <v>2</v>
      </c>
      <c r="B700">
        <v>388.22</v>
      </c>
      <c r="C700">
        <v>776.44</v>
      </c>
    </row>
    <row r="701" spans="1:3" x14ac:dyDescent="0.3">
      <c r="A701">
        <v>3</v>
      </c>
      <c r="B701">
        <v>614.15</v>
      </c>
      <c r="C701">
        <v>1842.45</v>
      </c>
    </row>
    <row r="702" spans="1:3" x14ac:dyDescent="0.3">
      <c r="A702">
        <v>2</v>
      </c>
      <c r="B702">
        <v>92.91</v>
      </c>
      <c r="C702">
        <v>185.82</v>
      </c>
    </row>
    <row r="703" spans="1:3" x14ac:dyDescent="0.3">
      <c r="A703">
        <v>3</v>
      </c>
      <c r="B703">
        <v>92.22</v>
      </c>
      <c r="C703">
        <v>276.66000000000003</v>
      </c>
    </row>
    <row r="704" spans="1:3" x14ac:dyDescent="0.3">
      <c r="A704">
        <v>3</v>
      </c>
      <c r="B704">
        <v>562.54999999999995</v>
      </c>
      <c r="C704">
        <v>1687.65</v>
      </c>
    </row>
    <row r="705" spans="1:3" x14ac:dyDescent="0.3">
      <c r="A705">
        <v>1</v>
      </c>
      <c r="B705">
        <v>92.79</v>
      </c>
      <c r="C705">
        <v>92.79</v>
      </c>
    </row>
    <row r="706" spans="1:3" x14ac:dyDescent="0.3">
      <c r="A706">
        <v>4</v>
      </c>
      <c r="B706">
        <v>30.27</v>
      </c>
      <c r="C706">
        <v>121.08</v>
      </c>
    </row>
    <row r="707" spans="1:3" x14ac:dyDescent="0.3">
      <c r="A707">
        <v>2</v>
      </c>
      <c r="B707">
        <v>49.08</v>
      </c>
      <c r="C707">
        <v>98.16</v>
      </c>
    </row>
    <row r="708" spans="1:3" x14ac:dyDescent="0.3">
      <c r="A708">
        <v>5</v>
      </c>
      <c r="B708">
        <v>228.09</v>
      </c>
      <c r="C708">
        <v>1140.45</v>
      </c>
    </row>
    <row r="709" spans="1:3" x14ac:dyDescent="0.3">
      <c r="A709">
        <v>4</v>
      </c>
      <c r="B709">
        <v>650.04</v>
      </c>
      <c r="C709">
        <v>2600.16</v>
      </c>
    </row>
    <row r="710" spans="1:3" x14ac:dyDescent="0.3">
      <c r="A710">
        <v>1</v>
      </c>
      <c r="B710">
        <v>665.11</v>
      </c>
      <c r="C710">
        <v>665.11</v>
      </c>
    </row>
    <row r="711" spans="1:3" x14ac:dyDescent="0.3">
      <c r="A711">
        <v>1</v>
      </c>
      <c r="B711">
        <v>386.03</v>
      </c>
      <c r="C711">
        <v>386.03</v>
      </c>
    </row>
    <row r="712" spans="1:3" x14ac:dyDescent="0.3">
      <c r="A712">
        <v>5</v>
      </c>
      <c r="B712">
        <v>21.54</v>
      </c>
      <c r="C712">
        <v>107.7</v>
      </c>
    </row>
    <row r="713" spans="1:3" x14ac:dyDescent="0.3">
      <c r="A713">
        <v>2</v>
      </c>
      <c r="B713">
        <v>475.78</v>
      </c>
      <c r="C713">
        <v>951.56</v>
      </c>
    </row>
    <row r="714" spans="1:3" x14ac:dyDescent="0.3">
      <c r="A714">
        <v>2</v>
      </c>
      <c r="B714">
        <v>68.400000000000006</v>
      </c>
      <c r="C714">
        <v>136.80000000000001</v>
      </c>
    </row>
    <row r="715" spans="1:3" x14ac:dyDescent="0.3">
      <c r="A715">
        <v>4</v>
      </c>
      <c r="B715">
        <v>532.49</v>
      </c>
      <c r="C715">
        <v>2129.96</v>
      </c>
    </row>
    <row r="716" spans="1:3" x14ac:dyDescent="0.3">
      <c r="A716">
        <v>1</v>
      </c>
      <c r="B716">
        <v>51.73</v>
      </c>
      <c r="C716">
        <v>51.73</v>
      </c>
    </row>
    <row r="717" spans="1:3" x14ac:dyDescent="0.3">
      <c r="A717">
        <v>3</v>
      </c>
      <c r="B717">
        <v>653.63</v>
      </c>
      <c r="C717">
        <v>1960.89</v>
      </c>
    </row>
    <row r="718" spans="1:3" x14ac:dyDescent="0.3">
      <c r="A718">
        <v>3</v>
      </c>
      <c r="B718">
        <v>454.29</v>
      </c>
      <c r="C718">
        <v>1362.87</v>
      </c>
    </row>
    <row r="719" spans="1:3" x14ac:dyDescent="0.3">
      <c r="A719">
        <v>3</v>
      </c>
      <c r="B719">
        <v>122.11</v>
      </c>
      <c r="C719">
        <v>366.33</v>
      </c>
    </row>
    <row r="720" spans="1:3" x14ac:dyDescent="0.3">
      <c r="A720">
        <v>4</v>
      </c>
      <c r="B720">
        <v>64.739999999999995</v>
      </c>
      <c r="C720">
        <v>258.95999999999998</v>
      </c>
    </row>
    <row r="721" spans="1:3" x14ac:dyDescent="0.3">
      <c r="A721">
        <v>2</v>
      </c>
      <c r="B721">
        <v>681.06</v>
      </c>
      <c r="C721">
        <v>1362.12</v>
      </c>
    </row>
    <row r="722" spans="1:3" x14ac:dyDescent="0.3">
      <c r="A722">
        <v>5</v>
      </c>
      <c r="B722">
        <v>128.94999999999999</v>
      </c>
      <c r="C722">
        <v>644.75</v>
      </c>
    </row>
    <row r="723" spans="1:3" x14ac:dyDescent="0.3">
      <c r="A723">
        <v>2</v>
      </c>
      <c r="B723">
        <v>118.59</v>
      </c>
      <c r="C723">
        <v>237.18</v>
      </c>
    </row>
    <row r="724" spans="1:3" x14ac:dyDescent="0.3">
      <c r="A724">
        <v>1</v>
      </c>
      <c r="B724">
        <v>95.1</v>
      </c>
      <c r="C724">
        <v>95.1</v>
      </c>
    </row>
    <row r="725" spans="1:3" x14ac:dyDescent="0.3">
      <c r="A725">
        <v>3</v>
      </c>
      <c r="B725">
        <v>54.95</v>
      </c>
      <c r="C725">
        <v>164.85</v>
      </c>
    </row>
    <row r="726" spans="1:3" x14ac:dyDescent="0.3">
      <c r="A726">
        <v>3</v>
      </c>
      <c r="B726">
        <v>136.97</v>
      </c>
      <c r="C726">
        <v>410.91</v>
      </c>
    </row>
    <row r="727" spans="1:3" x14ac:dyDescent="0.3">
      <c r="A727">
        <v>2</v>
      </c>
      <c r="B727">
        <v>194.85</v>
      </c>
      <c r="C727">
        <v>389.7</v>
      </c>
    </row>
    <row r="728" spans="1:3" x14ac:dyDescent="0.3">
      <c r="A728">
        <v>4</v>
      </c>
      <c r="B728">
        <v>583.02</v>
      </c>
      <c r="C728">
        <v>2332.08</v>
      </c>
    </row>
    <row r="729" spans="1:3" x14ac:dyDescent="0.3">
      <c r="A729">
        <v>5</v>
      </c>
      <c r="B729">
        <v>95.75</v>
      </c>
      <c r="C729">
        <v>478.75</v>
      </c>
    </row>
    <row r="730" spans="1:3" x14ac:dyDescent="0.3">
      <c r="A730">
        <v>4</v>
      </c>
      <c r="B730">
        <v>325.76</v>
      </c>
      <c r="C730">
        <v>1303.04</v>
      </c>
    </row>
    <row r="731" spans="1:3" x14ac:dyDescent="0.3">
      <c r="A731">
        <v>4</v>
      </c>
      <c r="B731">
        <v>186.41</v>
      </c>
      <c r="C731">
        <v>745.64</v>
      </c>
    </row>
    <row r="732" spans="1:3" x14ac:dyDescent="0.3">
      <c r="A732">
        <v>1</v>
      </c>
      <c r="B732">
        <v>474.6</v>
      </c>
      <c r="C732">
        <v>474.6</v>
      </c>
    </row>
    <row r="733" spans="1:3" x14ac:dyDescent="0.3">
      <c r="A733">
        <v>5</v>
      </c>
      <c r="B733">
        <v>584.46</v>
      </c>
      <c r="C733">
        <v>2922.3</v>
      </c>
    </row>
    <row r="734" spans="1:3" x14ac:dyDescent="0.3">
      <c r="A734">
        <v>1</v>
      </c>
      <c r="B734">
        <v>132.05000000000001</v>
      </c>
      <c r="C734">
        <v>132.05000000000001</v>
      </c>
    </row>
    <row r="735" spans="1:3" x14ac:dyDescent="0.3">
      <c r="A735">
        <v>4</v>
      </c>
      <c r="B735">
        <v>494.84</v>
      </c>
      <c r="C735">
        <v>1979.36</v>
      </c>
    </row>
    <row r="736" spans="1:3" x14ac:dyDescent="0.3">
      <c r="A736">
        <v>4</v>
      </c>
      <c r="B736">
        <v>224.61</v>
      </c>
      <c r="C736">
        <v>898.44</v>
      </c>
    </row>
    <row r="737" spans="1:3" x14ac:dyDescent="0.3">
      <c r="A737">
        <v>4</v>
      </c>
      <c r="B737">
        <v>44.07</v>
      </c>
      <c r="C737">
        <v>176.28</v>
      </c>
    </row>
    <row r="738" spans="1:3" x14ac:dyDescent="0.3">
      <c r="A738">
        <v>5</v>
      </c>
      <c r="B738">
        <v>418.53</v>
      </c>
      <c r="C738">
        <v>2092.65</v>
      </c>
    </row>
    <row r="739" spans="1:3" x14ac:dyDescent="0.3">
      <c r="A739">
        <v>4</v>
      </c>
      <c r="B739">
        <v>532.87</v>
      </c>
      <c r="C739">
        <v>2131.48</v>
      </c>
    </row>
    <row r="740" spans="1:3" x14ac:dyDescent="0.3">
      <c r="A740">
        <v>2</v>
      </c>
      <c r="B740">
        <v>485.37</v>
      </c>
      <c r="C740">
        <v>970.74</v>
      </c>
    </row>
    <row r="741" spans="1:3" x14ac:dyDescent="0.3">
      <c r="A741">
        <v>4</v>
      </c>
      <c r="B741">
        <v>386.73</v>
      </c>
      <c r="C741">
        <v>1546.92</v>
      </c>
    </row>
    <row r="742" spans="1:3" x14ac:dyDescent="0.3">
      <c r="A742">
        <v>2</v>
      </c>
      <c r="B742">
        <v>377.47</v>
      </c>
      <c r="C742">
        <v>754.94</v>
      </c>
    </row>
    <row r="743" spans="1:3" x14ac:dyDescent="0.3">
      <c r="A743">
        <v>5</v>
      </c>
      <c r="B743">
        <v>332.64</v>
      </c>
      <c r="C743">
        <v>1663.2</v>
      </c>
    </row>
    <row r="744" spans="1:3" x14ac:dyDescent="0.3">
      <c r="A744">
        <v>3</v>
      </c>
      <c r="B744">
        <v>699.93</v>
      </c>
      <c r="C744">
        <v>2099.79</v>
      </c>
    </row>
    <row r="745" spans="1:3" x14ac:dyDescent="0.3">
      <c r="A745">
        <v>1</v>
      </c>
      <c r="B745">
        <v>576.35</v>
      </c>
      <c r="C745">
        <v>576.35</v>
      </c>
    </row>
    <row r="746" spans="1:3" x14ac:dyDescent="0.3">
      <c r="A746">
        <v>2</v>
      </c>
      <c r="B746">
        <v>461.37</v>
      </c>
      <c r="C746">
        <v>922.74</v>
      </c>
    </row>
    <row r="747" spans="1:3" x14ac:dyDescent="0.3">
      <c r="A747">
        <v>4</v>
      </c>
      <c r="B747">
        <v>111.3</v>
      </c>
      <c r="C747">
        <v>445.2</v>
      </c>
    </row>
    <row r="748" spans="1:3" x14ac:dyDescent="0.3">
      <c r="A748">
        <v>3</v>
      </c>
      <c r="B748">
        <v>661.89</v>
      </c>
      <c r="C748">
        <v>1985.67</v>
      </c>
    </row>
    <row r="749" spans="1:3" x14ac:dyDescent="0.3">
      <c r="A749">
        <v>2</v>
      </c>
      <c r="B749">
        <v>259.58</v>
      </c>
      <c r="C749">
        <v>519.16</v>
      </c>
    </row>
    <row r="750" spans="1:3" x14ac:dyDescent="0.3">
      <c r="A750">
        <v>3</v>
      </c>
      <c r="B750">
        <v>70.81</v>
      </c>
      <c r="C750">
        <v>212.43</v>
      </c>
    </row>
    <row r="751" spans="1:3" x14ac:dyDescent="0.3">
      <c r="A751">
        <v>1</v>
      </c>
      <c r="B751">
        <v>518.39</v>
      </c>
      <c r="C751">
        <v>518.39</v>
      </c>
    </row>
    <row r="752" spans="1:3" x14ac:dyDescent="0.3">
      <c r="A752">
        <v>4</v>
      </c>
      <c r="B752">
        <v>145.41</v>
      </c>
      <c r="C752">
        <v>581.64</v>
      </c>
    </row>
    <row r="753" spans="1:3" x14ac:dyDescent="0.3">
      <c r="A753">
        <v>2</v>
      </c>
      <c r="B753">
        <v>599.86</v>
      </c>
      <c r="C753">
        <v>1199.72</v>
      </c>
    </row>
    <row r="754" spans="1:3" x14ac:dyDescent="0.3">
      <c r="A754">
        <v>4</v>
      </c>
      <c r="B754">
        <v>429.37</v>
      </c>
      <c r="C754">
        <v>1717.48</v>
      </c>
    </row>
    <row r="755" spans="1:3" x14ac:dyDescent="0.3">
      <c r="A755">
        <v>2</v>
      </c>
      <c r="B755">
        <v>241.49</v>
      </c>
      <c r="C755">
        <v>482.98</v>
      </c>
    </row>
    <row r="756" spans="1:3" x14ac:dyDescent="0.3">
      <c r="A756">
        <v>2</v>
      </c>
      <c r="B756">
        <v>452.05</v>
      </c>
      <c r="C756">
        <v>904.1</v>
      </c>
    </row>
    <row r="757" spans="1:3" x14ac:dyDescent="0.3">
      <c r="A757">
        <v>3</v>
      </c>
      <c r="B757">
        <v>336.71</v>
      </c>
      <c r="C757">
        <v>1010.13</v>
      </c>
    </row>
    <row r="758" spans="1:3" x14ac:dyDescent="0.3">
      <c r="A758">
        <v>1</v>
      </c>
      <c r="B758">
        <v>283.69</v>
      </c>
      <c r="C758">
        <v>283.69</v>
      </c>
    </row>
    <row r="759" spans="1:3" x14ac:dyDescent="0.3">
      <c r="A759">
        <v>1</v>
      </c>
      <c r="B759">
        <v>157.72</v>
      </c>
      <c r="C759">
        <v>157.72</v>
      </c>
    </row>
    <row r="760" spans="1:3" x14ac:dyDescent="0.3">
      <c r="A760">
        <v>3</v>
      </c>
      <c r="B760">
        <v>624.84</v>
      </c>
      <c r="C760">
        <v>1874.52</v>
      </c>
    </row>
    <row r="761" spans="1:3" x14ac:dyDescent="0.3">
      <c r="A761">
        <v>3</v>
      </c>
      <c r="B761">
        <v>308.01</v>
      </c>
      <c r="C761">
        <v>924.03</v>
      </c>
    </row>
    <row r="762" spans="1:3" x14ac:dyDescent="0.3">
      <c r="A762">
        <v>1</v>
      </c>
      <c r="B762">
        <v>39.56</v>
      </c>
      <c r="C762">
        <v>39.56</v>
      </c>
    </row>
    <row r="763" spans="1:3" x14ac:dyDescent="0.3">
      <c r="A763">
        <v>4</v>
      </c>
      <c r="B763">
        <v>37.76</v>
      </c>
      <c r="C763">
        <v>151.04</v>
      </c>
    </row>
    <row r="764" spans="1:3" x14ac:dyDescent="0.3">
      <c r="A764">
        <v>3</v>
      </c>
      <c r="B764">
        <v>76.959999999999994</v>
      </c>
      <c r="C764">
        <v>230.88</v>
      </c>
    </row>
    <row r="765" spans="1:3" x14ac:dyDescent="0.3">
      <c r="A765">
        <v>1</v>
      </c>
      <c r="B765">
        <v>569.96</v>
      </c>
      <c r="C765">
        <v>569.96</v>
      </c>
    </row>
    <row r="766" spans="1:3" x14ac:dyDescent="0.3">
      <c r="A766">
        <v>5</v>
      </c>
      <c r="B766">
        <v>627.42999999999995</v>
      </c>
      <c r="C766">
        <v>3137.15</v>
      </c>
    </row>
    <row r="767" spans="1:3" x14ac:dyDescent="0.3">
      <c r="A767">
        <v>2</v>
      </c>
      <c r="B767">
        <v>534.91</v>
      </c>
      <c r="C767">
        <v>1069.82</v>
      </c>
    </row>
    <row r="768" spans="1:3" x14ac:dyDescent="0.3">
      <c r="A768">
        <v>2</v>
      </c>
      <c r="B768">
        <v>278.88</v>
      </c>
      <c r="C768">
        <v>557.76</v>
      </c>
    </row>
    <row r="769" spans="1:3" x14ac:dyDescent="0.3">
      <c r="A769">
        <v>2</v>
      </c>
      <c r="B769">
        <v>323.22000000000003</v>
      </c>
      <c r="C769">
        <v>646.44000000000005</v>
      </c>
    </row>
    <row r="770" spans="1:3" x14ac:dyDescent="0.3">
      <c r="A770">
        <v>5</v>
      </c>
      <c r="B770">
        <v>653.46</v>
      </c>
      <c r="C770">
        <v>3267.3</v>
      </c>
    </row>
    <row r="771" spans="1:3" x14ac:dyDescent="0.3">
      <c r="A771">
        <v>4</v>
      </c>
      <c r="B771">
        <v>678.55</v>
      </c>
      <c r="C771">
        <v>2714.2</v>
      </c>
    </row>
    <row r="772" spans="1:3" x14ac:dyDescent="0.3">
      <c r="A772">
        <v>1</v>
      </c>
      <c r="B772">
        <v>314.38</v>
      </c>
      <c r="C772">
        <v>314.38</v>
      </c>
    </row>
    <row r="773" spans="1:3" x14ac:dyDescent="0.3">
      <c r="A773">
        <v>3</v>
      </c>
      <c r="B773">
        <v>692.44</v>
      </c>
      <c r="C773">
        <v>2077.3200000000002</v>
      </c>
    </row>
    <row r="774" spans="1:3" x14ac:dyDescent="0.3">
      <c r="A774">
        <v>1</v>
      </c>
      <c r="B774">
        <v>604.87</v>
      </c>
      <c r="C774">
        <v>604.87</v>
      </c>
    </row>
    <row r="775" spans="1:3" x14ac:dyDescent="0.3">
      <c r="A775">
        <v>2</v>
      </c>
      <c r="B775">
        <v>512.33000000000004</v>
      </c>
      <c r="C775">
        <v>1024.6600000000001</v>
      </c>
    </row>
    <row r="776" spans="1:3" x14ac:dyDescent="0.3">
      <c r="A776">
        <v>3</v>
      </c>
      <c r="B776">
        <v>20.54</v>
      </c>
      <c r="C776">
        <v>61.62</v>
      </c>
    </row>
    <row r="777" spans="1:3" x14ac:dyDescent="0.3">
      <c r="A777">
        <v>2</v>
      </c>
      <c r="B777">
        <v>625.22</v>
      </c>
      <c r="C777">
        <v>1250.44</v>
      </c>
    </row>
    <row r="778" spans="1:3" x14ac:dyDescent="0.3">
      <c r="A778">
        <v>1</v>
      </c>
      <c r="B778">
        <v>21.19</v>
      </c>
      <c r="C778">
        <v>21.19</v>
      </c>
    </row>
    <row r="779" spans="1:3" x14ac:dyDescent="0.3">
      <c r="A779">
        <v>5</v>
      </c>
      <c r="B779">
        <v>64.489999999999995</v>
      </c>
      <c r="C779">
        <v>322.45</v>
      </c>
    </row>
    <row r="780" spans="1:3" x14ac:dyDescent="0.3">
      <c r="A780">
        <v>4</v>
      </c>
      <c r="B780">
        <v>246.85</v>
      </c>
      <c r="C780">
        <v>987.4</v>
      </c>
    </row>
    <row r="781" spans="1:3" x14ac:dyDescent="0.3">
      <c r="A781">
        <v>3</v>
      </c>
      <c r="B781">
        <v>588.74</v>
      </c>
      <c r="C781">
        <v>1766.22</v>
      </c>
    </row>
    <row r="782" spans="1:3" x14ac:dyDescent="0.3">
      <c r="A782">
        <v>4</v>
      </c>
      <c r="B782">
        <v>184.48</v>
      </c>
      <c r="C782">
        <v>737.92</v>
      </c>
    </row>
    <row r="783" spans="1:3" x14ac:dyDescent="0.3">
      <c r="A783">
        <v>5</v>
      </c>
      <c r="B783">
        <v>524.26</v>
      </c>
      <c r="C783">
        <v>2621.3000000000002</v>
      </c>
    </row>
    <row r="784" spans="1:3" x14ac:dyDescent="0.3">
      <c r="A784">
        <v>2</v>
      </c>
      <c r="B784">
        <v>493.63</v>
      </c>
      <c r="C784">
        <v>987.26</v>
      </c>
    </row>
    <row r="785" spans="1:3" x14ac:dyDescent="0.3">
      <c r="A785">
        <v>1</v>
      </c>
      <c r="B785">
        <v>438.34</v>
      </c>
      <c r="C785">
        <v>438.34</v>
      </c>
    </row>
    <row r="786" spans="1:3" x14ac:dyDescent="0.3">
      <c r="A786">
        <v>1</v>
      </c>
      <c r="B786">
        <v>325.81</v>
      </c>
      <c r="C786">
        <v>325.81</v>
      </c>
    </row>
    <row r="787" spans="1:3" x14ac:dyDescent="0.3">
      <c r="A787">
        <v>1</v>
      </c>
      <c r="B787">
        <v>176.1</v>
      </c>
      <c r="C787">
        <v>176.1</v>
      </c>
    </row>
    <row r="788" spans="1:3" x14ac:dyDescent="0.3">
      <c r="A788">
        <v>5</v>
      </c>
      <c r="B788">
        <v>45.31</v>
      </c>
      <c r="C788">
        <v>226.55</v>
      </c>
    </row>
    <row r="789" spans="1:3" x14ac:dyDescent="0.3">
      <c r="A789">
        <v>4</v>
      </c>
      <c r="B789">
        <v>221.96</v>
      </c>
      <c r="C789">
        <v>887.84</v>
      </c>
    </row>
    <row r="790" spans="1:3" x14ac:dyDescent="0.3">
      <c r="A790">
        <v>2</v>
      </c>
      <c r="B790">
        <v>601.42999999999995</v>
      </c>
      <c r="C790">
        <v>1202.8599999999999</v>
      </c>
    </row>
    <row r="791" spans="1:3" x14ac:dyDescent="0.3">
      <c r="A791">
        <v>5</v>
      </c>
      <c r="B791">
        <v>691.28</v>
      </c>
      <c r="C791">
        <v>3456.4</v>
      </c>
    </row>
    <row r="792" spans="1:3" x14ac:dyDescent="0.3">
      <c r="A792">
        <v>4</v>
      </c>
      <c r="B792">
        <v>417.89</v>
      </c>
      <c r="C792">
        <v>1671.56</v>
      </c>
    </row>
    <row r="793" spans="1:3" x14ac:dyDescent="0.3">
      <c r="A793">
        <v>4</v>
      </c>
      <c r="B793">
        <v>409.28</v>
      </c>
      <c r="C793">
        <v>1637.12</v>
      </c>
    </row>
    <row r="794" spans="1:3" x14ac:dyDescent="0.3">
      <c r="A794">
        <v>2</v>
      </c>
      <c r="B794">
        <v>356.35</v>
      </c>
      <c r="C794">
        <v>712.7</v>
      </c>
    </row>
    <row r="795" spans="1:3" x14ac:dyDescent="0.3">
      <c r="A795">
        <v>5</v>
      </c>
      <c r="B795">
        <v>170.22</v>
      </c>
      <c r="C795">
        <v>851.1</v>
      </c>
    </row>
    <row r="796" spans="1:3" x14ac:dyDescent="0.3">
      <c r="A796">
        <v>4</v>
      </c>
      <c r="B796">
        <v>384.85</v>
      </c>
      <c r="C796">
        <v>1539.4</v>
      </c>
    </row>
    <row r="797" spans="1:3" x14ac:dyDescent="0.3">
      <c r="A797">
        <v>4</v>
      </c>
      <c r="B797">
        <v>115.77</v>
      </c>
      <c r="C797">
        <v>463.08</v>
      </c>
    </row>
    <row r="798" spans="1:3" x14ac:dyDescent="0.3">
      <c r="A798">
        <v>3</v>
      </c>
      <c r="B798">
        <v>579.54999999999995</v>
      </c>
      <c r="C798">
        <v>1738.65</v>
      </c>
    </row>
    <row r="799" spans="1:3" x14ac:dyDescent="0.3">
      <c r="A799">
        <v>2</v>
      </c>
      <c r="B799">
        <v>438.76</v>
      </c>
      <c r="C799">
        <v>877.52</v>
      </c>
    </row>
    <row r="800" spans="1:3" x14ac:dyDescent="0.3">
      <c r="A800">
        <v>5</v>
      </c>
      <c r="B800">
        <v>488.35</v>
      </c>
      <c r="C800">
        <v>2441.75</v>
      </c>
    </row>
    <row r="801" spans="1:3" x14ac:dyDescent="0.3">
      <c r="A801">
        <v>4</v>
      </c>
      <c r="B801">
        <v>328.56</v>
      </c>
      <c r="C801">
        <v>1314.24</v>
      </c>
    </row>
    <row r="802" spans="1:3" x14ac:dyDescent="0.3">
      <c r="A802">
        <v>1</v>
      </c>
      <c r="B802">
        <v>68.39</v>
      </c>
      <c r="C802">
        <v>68.39</v>
      </c>
    </row>
    <row r="803" spans="1:3" x14ac:dyDescent="0.3">
      <c r="A803">
        <v>4</v>
      </c>
      <c r="B803">
        <v>595.62</v>
      </c>
      <c r="C803">
        <v>2382.48</v>
      </c>
    </row>
    <row r="804" spans="1:3" x14ac:dyDescent="0.3">
      <c r="A804">
        <v>5</v>
      </c>
      <c r="B804">
        <v>644.64</v>
      </c>
      <c r="C804">
        <v>3223.2</v>
      </c>
    </row>
    <row r="805" spans="1:3" x14ac:dyDescent="0.3">
      <c r="A805">
        <v>5</v>
      </c>
      <c r="B805">
        <v>397.81</v>
      </c>
      <c r="C805">
        <v>1989.05</v>
      </c>
    </row>
    <row r="806" spans="1:3" x14ac:dyDescent="0.3">
      <c r="A806">
        <v>3</v>
      </c>
      <c r="B806">
        <v>236.5</v>
      </c>
      <c r="C806">
        <v>709.5</v>
      </c>
    </row>
    <row r="807" spans="1:3" x14ac:dyDescent="0.3">
      <c r="A807">
        <v>5</v>
      </c>
      <c r="B807">
        <v>472.01</v>
      </c>
      <c r="C807">
        <v>2360.0500000000002</v>
      </c>
    </row>
    <row r="808" spans="1:3" x14ac:dyDescent="0.3">
      <c r="A808">
        <v>5</v>
      </c>
      <c r="B808">
        <v>253.75</v>
      </c>
      <c r="C808">
        <v>1268.75</v>
      </c>
    </row>
    <row r="809" spans="1:3" x14ac:dyDescent="0.3">
      <c r="A809">
        <v>3</v>
      </c>
      <c r="B809">
        <v>676.21</v>
      </c>
      <c r="C809">
        <v>2028.63</v>
      </c>
    </row>
    <row r="810" spans="1:3" x14ac:dyDescent="0.3">
      <c r="A810">
        <v>3</v>
      </c>
      <c r="B810">
        <v>134.05000000000001</v>
      </c>
      <c r="C810">
        <v>402.15</v>
      </c>
    </row>
    <row r="811" spans="1:3" x14ac:dyDescent="0.3">
      <c r="A811">
        <v>5</v>
      </c>
      <c r="B811">
        <v>217.43</v>
      </c>
      <c r="C811">
        <v>1087.1500000000001</v>
      </c>
    </row>
    <row r="812" spans="1:3" x14ac:dyDescent="0.3">
      <c r="A812">
        <v>1</v>
      </c>
      <c r="B812">
        <v>553.55999999999995</v>
      </c>
      <c r="C812">
        <v>553.55999999999995</v>
      </c>
    </row>
    <row r="813" spans="1:3" x14ac:dyDescent="0.3">
      <c r="A813">
        <v>2</v>
      </c>
      <c r="B813">
        <v>28.55</v>
      </c>
      <c r="C813">
        <v>57.1</v>
      </c>
    </row>
    <row r="814" spans="1:3" x14ac:dyDescent="0.3">
      <c r="A814">
        <v>2</v>
      </c>
      <c r="B814">
        <v>255.26</v>
      </c>
      <c r="C814">
        <v>510.52</v>
      </c>
    </row>
    <row r="815" spans="1:3" x14ac:dyDescent="0.3">
      <c r="A815">
        <v>5</v>
      </c>
      <c r="B815">
        <v>292.54000000000002</v>
      </c>
      <c r="C815">
        <v>1462.7</v>
      </c>
    </row>
    <row r="816" spans="1:3" x14ac:dyDescent="0.3">
      <c r="A816">
        <v>4</v>
      </c>
      <c r="B816">
        <v>147.51</v>
      </c>
      <c r="C816">
        <v>590.04</v>
      </c>
    </row>
    <row r="817" spans="1:3" x14ac:dyDescent="0.3">
      <c r="A817">
        <v>3</v>
      </c>
      <c r="B817">
        <v>569.84</v>
      </c>
      <c r="C817">
        <v>1709.52</v>
      </c>
    </row>
    <row r="818" spans="1:3" x14ac:dyDescent="0.3">
      <c r="A818">
        <v>5</v>
      </c>
      <c r="B818">
        <v>574.79</v>
      </c>
      <c r="C818">
        <v>2873.95</v>
      </c>
    </row>
    <row r="819" spans="1:3" x14ac:dyDescent="0.3">
      <c r="A819">
        <v>4</v>
      </c>
      <c r="B819">
        <v>598.19000000000005</v>
      </c>
      <c r="C819">
        <v>2392.7600000000002</v>
      </c>
    </row>
    <row r="820" spans="1:3" x14ac:dyDescent="0.3">
      <c r="A820">
        <v>4</v>
      </c>
      <c r="B820">
        <v>390.84</v>
      </c>
      <c r="C820">
        <v>1563.36</v>
      </c>
    </row>
    <row r="821" spans="1:3" x14ac:dyDescent="0.3">
      <c r="A821">
        <v>2</v>
      </c>
      <c r="B821">
        <v>398.45</v>
      </c>
      <c r="C821">
        <v>796.9</v>
      </c>
    </row>
    <row r="822" spans="1:3" x14ac:dyDescent="0.3">
      <c r="A822">
        <v>5</v>
      </c>
      <c r="B822">
        <v>623.80999999999995</v>
      </c>
      <c r="C822">
        <v>3119.05</v>
      </c>
    </row>
    <row r="823" spans="1:3" x14ac:dyDescent="0.3">
      <c r="A823">
        <v>4</v>
      </c>
      <c r="B823">
        <v>174.49</v>
      </c>
      <c r="C823">
        <v>697.96</v>
      </c>
    </row>
    <row r="824" spans="1:3" x14ac:dyDescent="0.3">
      <c r="A824">
        <v>1</v>
      </c>
      <c r="B824">
        <v>479.56</v>
      </c>
      <c r="C824">
        <v>479.56</v>
      </c>
    </row>
    <row r="825" spans="1:3" x14ac:dyDescent="0.3">
      <c r="A825">
        <v>4</v>
      </c>
      <c r="B825">
        <v>653.13</v>
      </c>
      <c r="C825">
        <v>2612.52</v>
      </c>
    </row>
    <row r="826" spans="1:3" x14ac:dyDescent="0.3">
      <c r="A826">
        <v>3</v>
      </c>
      <c r="B826">
        <v>481.1</v>
      </c>
      <c r="C826">
        <v>1443.3</v>
      </c>
    </row>
    <row r="827" spans="1:3" x14ac:dyDescent="0.3">
      <c r="A827">
        <v>5</v>
      </c>
      <c r="B827">
        <v>271.69</v>
      </c>
      <c r="C827">
        <v>1358.45</v>
      </c>
    </row>
    <row r="828" spans="1:3" x14ac:dyDescent="0.3">
      <c r="A828">
        <v>3</v>
      </c>
      <c r="B828">
        <v>463.81</v>
      </c>
      <c r="C828">
        <v>1391.43</v>
      </c>
    </row>
    <row r="829" spans="1:3" x14ac:dyDescent="0.3">
      <c r="A829">
        <v>2</v>
      </c>
      <c r="B829">
        <v>639.88</v>
      </c>
      <c r="C829">
        <v>1279.76</v>
      </c>
    </row>
    <row r="830" spans="1:3" x14ac:dyDescent="0.3">
      <c r="A830">
        <v>4</v>
      </c>
      <c r="B830">
        <v>404.58</v>
      </c>
      <c r="C830">
        <v>1618.32</v>
      </c>
    </row>
    <row r="831" spans="1:3" x14ac:dyDescent="0.3">
      <c r="A831">
        <v>1</v>
      </c>
      <c r="B831">
        <v>76.930000000000007</v>
      </c>
      <c r="C831">
        <v>76.930000000000007</v>
      </c>
    </row>
    <row r="832" spans="1:3" x14ac:dyDescent="0.3">
      <c r="A832">
        <v>4</v>
      </c>
      <c r="B832">
        <v>190.64</v>
      </c>
      <c r="C832">
        <v>762.56</v>
      </c>
    </row>
    <row r="833" spans="1:3" x14ac:dyDescent="0.3">
      <c r="A833">
        <v>2</v>
      </c>
      <c r="B833">
        <v>88.73</v>
      </c>
      <c r="C833">
        <v>177.46</v>
      </c>
    </row>
    <row r="834" spans="1:3" x14ac:dyDescent="0.3">
      <c r="A834">
        <v>5</v>
      </c>
      <c r="B834">
        <v>485.71</v>
      </c>
      <c r="C834">
        <v>2428.5500000000002</v>
      </c>
    </row>
    <row r="835" spans="1:3" x14ac:dyDescent="0.3">
      <c r="A835">
        <v>5</v>
      </c>
      <c r="B835">
        <v>78.290000000000006</v>
      </c>
      <c r="C835">
        <v>391.45</v>
      </c>
    </row>
    <row r="836" spans="1:3" x14ac:dyDescent="0.3">
      <c r="A836">
        <v>5</v>
      </c>
      <c r="B836">
        <v>22.14</v>
      </c>
      <c r="C836">
        <v>110.7</v>
      </c>
    </row>
    <row r="837" spans="1:3" x14ac:dyDescent="0.3">
      <c r="A837">
        <v>1</v>
      </c>
      <c r="B837">
        <v>679.65</v>
      </c>
      <c r="C837">
        <v>679.65</v>
      </c>
    </row>
    <row r="838" spans="1:3" x14ac:dyDescent="0.3">
      <c r="A838">
        <v>1</v>
      </c>
      <c r="B838">
        <v>178.44</v>
      </c>
      <c r="C838">
        <v>178.44</v>
      </c>
    </row>
    <row r="839" spans="1:3" x14ac:dyDescent="0.3">
      <c r="A839">
        <v>5</v>
      </c>
      <c r="B839">
        <v>655.55</v>
      </c>
      <c r="C839">
        <v>3277.75</v>
      </c>
    </row>
    <row r="840" spans="1:3" x14ac:dyDescent="0.3">
      <c r="A840">
        <v>4</v>
      </c>
      <c r="B840">
        <v>577.08000000000004</v>
      </c>
      <c r="C840">
        <v>2308.3200000000002</v>
      </c>
    </row>
    <row r="841" spans="1:3" x14ac:dyDescent="0.3">
      <c r="A841">
        <v>3</v>
      </c>
      <c r="B841">
        <v>197.97</v>
      </c>
      <c r="C841">
        <v>593.91</v>
      </c>
    </row>
    <row r="842" spans="1:3" x14ac:dyDescent="0.3">
      <c r="A842">
        <v>3</v>
      </c>
      <c r="B842">
        <v>411.95</v>
      </c>
      <c r="C842">
        <v>1235.8499999999999</v>
      </c>
    </row>
    <row r="843" spans="1:3" x14ac:dyDescent="0.3">
      <c r="A843">
        <v>2</v>
      </c>
      <c r="B843">
        <v>443.22</v>
      </c>
      <c r="C843">
        <v>886.44</v>
      </c>
    </row>
    <row r="844" spans="1:3" x14ac:dyDescent="0.3">
      <c r="A844">
        <v>3</v>
      </c>
      <c r="B844">
        <v>364.14</v>
      </c>
      <c r="C844">
        <v>1092.42</v>
      </c>
    </row>
    <row r="845" spans="1:3" x14ac:dyDescent="0.3">
      <c r="A845">
        <v>3</v>
      </c>
      <c r="B845">
        <v>430.06</v>
      </c>
      <c r="C845">
        <v>1290.18</v>
      </c>
    </row>
    <row r="846" spans="1:3" x14ac:dyDescent="0.3">
      <c r="A846">
        <v>1</v>
      </c>
      <c r="B846">
        <v>320.92</v>
      </c>
      <c r="C846">
        <v>320.92</v>
      </c>
    </row>
    <row r="847" spans="1:3" x14ac:dyDescent="0.3">
      <c r="A847">
        <v>3</v>
      </c>
      <c r="B847">
        <v>107.36</v>
      </c>
      <c r="C847">
        <v>322.08</v>
      </c>
    </row>
    <row r="848" spans="1:3" x14ac:dyDescent="0.3">
      <c r="A848">
        <v>2</v>
      </c>
      <c r="B848">
        <v>359.86</v>
      </c>
      <c r="C848">
        <v>719.72</v>
      </c>
    </row>
    <row r="849" spans="1:3" x14ac:dyDescent="0.3">
      <c r="A849">
        <v>4</v>
      </c>
      <c r="B849">
        <v>434.23</v>
      </c>
      <c r="C849">
        <v>1736.92</v>
      </c>
    </row>
    <row r="850" spans="1:3" x14ac:dyDescent="0.3">
      <c r="A850">
        <v>2</v>
      </c>
      <c r="B850">
        <v>645.85</v>
      </c>
      <c r="C850">
        <v>1291.7</v>
      </c>
    </row>
    <row r="851" spans="1:3" x14ac:dyDescent="0.3">
      <c r="A851">
        <v>4</v>
      </c>
      <c r="B851">
        <v>214.35</v>
      </c>
      <c r="C851">
        <v>857.4</v>
      </c>
    </row>
    <row r="852" spans="1:3" x14ac:dyDescent="0.3">
      <c r="A852">
        <v>3</v>
      </c>
      <c r="B852">
        <v>638.5</v>
      </c>
      <c r="C852">
        <v>1915.5</v>
      </c>
    </row>
    <row r="853" spans="1:3" x14ac:dyDescent="0.3">
      <c r="A853">
        <v>1</v>
      </c>
      <c r="B853">
        <v>365.57</v>
      </c>
      <c r="C853">
        <v>365.57</v>
      </c>
    </row>
    <row r="854" spans="1:3" x14ac:dyDescent="0.3">
      <c r="A854">
        <v>3</v>
      </c>
      <c r="B854">
        <v>568.04999999999995</v>
      </c>
      <c r="C854">
        <v>1704.15</v>
      </c>
    </row>
    <row r="855" spans="1:3" x14ac:dyDescent="0.3">
      <c r="A855">
        <v>3</v>
      </c>
      <c r="B855">
        <v>490.01</v>
      </c>
      <c r="C855">
        <v>1470.03</v>
      </c>
    </row>
    <row r="856" spans="1:3" x14ac:dyDescent="0.3">
      <c r="A856">
        <v>3</v>
      </c>
      <c r="B856">
        <v>372.6</v>
      </c>
      <c r="C856">
        <v>1117.8</v>
      </c>
    </row>
    <row r="857" spans="1:3" x14ac:dyDescent="0.3">
      <c r="A857">
        <v>5</v>
      </c>
      <c r="B857">
        <v>240.61</v>
      </c>
      <c r="C857">
        <v>1203.05</v>
      </c>
    </row>
    <row r="858" spans="1:3" x14ac:dyDescent="0.3">
      <c r="A858">
        <v>1</v>
      </c>
      <c r="B858">
        <v>586.62</v>
      </c>
      <c r="C858">
        <v>586.62</v>
      </c>
    </row>
    <row r="859" spans="1:3" x14ac:dyDescent="0.3">
      <c r="A859">
        <v>3</v>
      </c>
      <c r="B859">
        <v>257.83999999999997</v>
      </c>
      <c r="C859">
        <v>773.52</v>
      </c>
    </row>
    <row r="860" spans="1:3" x14ac:dyDescent="0.3">
      <c r="A860">
        <v>5</v>
      </c>
      <c r="B860">
        <v>435.66</v>
      </c>
      <c r="C860">
        <v>2178.3000000000002</v>
      </c>
    </row>
    <row r="861" spans="1:3" x14ac:dyDescent="0.3">
      <c r="A861">
        <v>5</v>
      </c>
      <c r="B861">
        <v>261.33</v>
      </c>
      <c r="C861">
        <v>1306.6500000000001</v>
      </c>
    </row>
    <row r="862" spans="1:3" x14ac:dyDescent="0.3">
      <c r="A862">
        <v>1</v>
      </c>
      <c r="B862">
        <v>422.54</v>
      </c>
      <c r="C862">
        <v>422.54</v>
      </c>
    </row>
    <row r="863" spans="1:3" x14ac:dyDescent="0.3">
      <c r="A863">
        <v>5</v>
      </c>
      <c r="B863">
        <v>330.45</v>
      </c>
      <c r="C863">
        <v>1652.25</v>
      </c>
    </row>
    <row r="864" spans="1:3" x14ac:dyDescent="0.3">
      <c r="A864">
        <v>3</v>
      </c>
      <c r="B864">
        <v>120.82</v>
      </c>
      <c r="C864">
        <v>362.46</v>
      </c>
    </row>
    <row r="865" spans="1:3" x14ac:dyDescent="0.3">
      <c r="A865">
        <v>1</v>
      </c>
      <c r="B865">
        <v>14.06</v>
      </c>
      <c r="C865">
        <v>14.06</v>
      </c>
    </row>
    <row r="866" spans="1:3" x14ac:dyDescent="0.3">
      <c r="A866">
        <v>1</v>
      </c>
      <c r="B866">
        <v>491.11</v>
      </c>
      <c r="C866">
        <v>491.11</v>
      </c>
    </row>
    <row r="867" spans="1:3" x14ac:dyDescent="0.3">
      <c r="A867">
        <v>4</v>
      </c>
      <c r="B867">
        <v>677.37</v>
      </c>
      <c r="C867">
        <v>2709.48</v>
      </c>
    </row>
    <row r="868" spans="1:3" x14ac:dyDescent="0.3">
      <c r="A868">
        <v>5</v>
      </c>
      <c r="B868">
        <v>189.25</v>
      </c>
      <c r="C868">
        <v>946.25</v>
      </c>
    </row>
    <row r="869" spans="1:3" x14ac:dyDescent="0.3">
      <c r="A869">
        <v>4</v>
      </c>
      <c r="B869">
        <v>142.58000000000001</v>
      </c>
      <c r="C869">
        <v>570.32000000000005</v>
      </c>
    </row>
    <row r="870" spans="1:3" x14ac:dyDescent="0.3">
      <c r="A870">
        <v>4</v>
      </c>
      <c r="B870">
        <v>316.32</v>
      </c>
      <c r="C870">
        <v>1265.28</v>
      </c>
    </row>
    <row r="871" spans="1:3" x14ac:dyDescent="0.3">
      <c r="A871">
        <v>2</v>
      </c>
      <c r="B871">
        <v>533.95000000000005</v>
      </c>
      <c r="C871">
        <v>1067.9000000000001</v>
      </c>
    </row>
    <row r="872" spans="1:3" x14ac:dyDescent="0.3">
      <c r="A872">
        <v>4</v>
      </c>
      <c r="B872">
        <v>470.09</v>
      </c>
      <c r="C872">
        <v>1880.36</v>
      </c>
    </row>
    <row r="873" spans="1:3" x14ac:dyDescent="0.3">
      <c r="A873">
        <v>3</v>
      </c>
      <c r="B873">
        <v>324.3</v>
      </c>
      <c r="C873">
        <v>972.90000000000009</v>
      </c>
    </row>
    <row r="874" spans="1:3" x14ac:dyDescent="0.3">
      <c r="A874">
        <v>4</v>
      </c>
      <c r="B874">
        <v>629.34</v>
      </c>
      <c r="C874">
        <v>2517.36</v>
      </c>
    </row>
    <row r="875" spans="1:3" x14ac:dyDescent="0.3">
      <c r="A875">
        <v>3</v>
      </c>
      <c r="B875">
        <v>136.84</v>
      </c>
      <c r="C875">
        <v>410.52</v>
      </c>
    </row>
    <row r="876" spans="1:3" x14ac:dyDescent="0.3">
      <c r="A876">
        <v>2</v>
      </c>
      <c r="B876">
        <v>488.9</v>
      </c>
      <c r="C876">
        <v>977.8</v>
      </c>
    </row>
    <row r="877" spans="1:3" x14ac:dyDescent="0.3">
      <c r="A877">
        <v>5</v>
      </c>
      <c r="B877">
        <v>133.38999999999999</v>
      </c>
      <c r="C877">
        <v>666.94999999999993</v>
      </c>
    </row>
    <row r="878" spans="1:3" x14ac:dyDescent="0.3">
      <c r="A878">
        <v>5</v>
      </c>
      <c r="B878">
        <v>608.91</v>
      </c>
      <c r="C878">
        <v>3044.55</v>
      </c>
    </row>
    <row r="879" spans="1:3" x14ac:dyDescent="0.3">
      <c r="A879">
        <v>1</v>
      </c>
      <c r="B879">
        <v>524.05999999999995</v>
      </c>
      <c r="C879">
        <v>524.05999999999995</v>
      </c>
    </row>
    <row r="880" spans="1:3" x14ac:dyDescent="0.3">
      <c r="A880">
        <v>2</v>
      </c>
      <c r="B880">
        <v>330.69</v>
      </c>
      <c r="C880">
        <v>661.38</v>
      </c>
    </row>
    <row r="881" spans="1:3" x14ac:dyDescent="0.3">
      <c r="A881">
        <v>2</v>
      </c>
      <c r="B881">
        <v>547.66999999999996</v>
      </c>
      <c r="C881">
        <v>1095.3399999999999</v>
      </c>
    </row>
    <row r="882" spans="1:3" x14ac:dyDescent="0.3">
      <c r="A882">
        <v>4</v>
      </c>
      <c r="B882">
        <v>233.7</v>
      </c>
      <c r="C882">
        <v>934.8</v>
      </c>
    </row>
    <row r="883" spans="1:3" x14ac:dyDescent="0.3">
      <c r="A883">
        <v>2</v>
      </c>
      <c r="B883">
        <v>448.85</v>
      </c>
      <c r="C883">
        <v>897.7</v>
      </c>
    </row>
    <row r="884" spans="1:3" x14ac:dyDescent="0.3">
      <c r="A884">
        <v>2</v>
      </c>
      <c r="B884">
        <v>274.12</v>
      </c>
      <c r="C884">
        <v>548.24</v>
      </c>
    </row>
    <row r="885" spans="1:3" x14ac:dyDescent="0.3">
      <c r="A885">
        <v>5</v>
      </c>
      <c r="B885">
        <v>561.48</v>
      </c>
      <c r="C885">
        <v>2807.4</v>
      </c>
    </row>
    <row r="886" spans="1:3" x14ac:dyDescent="0.3">
      <c r="A886">
        <v>1</v>
      </c>
      <c r="B886">
        <v>595.54</v>
      </c>
      <c r="C886">
        <v>595.54</v>
      </c>
    </row>
    <row r="887" spans="1:3" x14ac:dyDescent="0.3">
      <c r="A887">
        <v>4</v>
      </c>
      <c r="B887">
        <v>515.59</v>
      </c>
      <c r="C887">
        <v>2062.36</v>
      </c>
    </row>
    <row r="888" spans="1:3" x14ac:dyDescent="0.3">
      <c r="A888">
        <v>1</v>
      </c>
      <c r="B888">
        <v>460.13</v>
      </c>
      <c r="C888">
        <v>460.13</v>
      </c>
    </row>
    <row r="889" spans="1:3" x14ac:dyDescent="0.3">
      <c r="A889">
        <v>3</v>
      </c>
      <c r="B889">
        <v>171.66</v>
      </c>
      <c r="C889">
        <v>514.98</v>
      </c>
    </row>
    <row r="890" spans="1:3" x14ac:dyDescent="0.3">
      <c r="A890">
        <v>2</v>
      </c>
      <c r="B890">
        <v>266.95</v>
      </c>
      <c r="C890">
        <v>533.9</v>
      </c>
    </row>
    <row r="891" spans="1:3" x14ac:dyDescent="0.3">
      <c r="A891">
        <v>5</v>
      </c>
      <c r="B891">
        <v>650.72</v>
      </c>
      <c r="C891">
        <v>3253.6</v>
      </c>
    </row>
    <row r="892" spans="1:3" x14ac:dyDescent="0.3">
      <c r="A892">
        <v>3</v>
      </c>
      <c r="B892">
        <v>439.53</v>
      </c>
      <c r="C892">
        <v>1318.59</v>
      </c>
    </row>
    <row r="893" spans="1:3" x14ac:dyDescent="0.3">
      <c r="A893">
        <v>3</v>
      </c>
      <c r="B893">
        <v>654.54</v>
      </c>
      <c r="C893">
        <v>1963.62</v>
      </c>
    </row>
    <row r="894" spans="1:3" x14ac:dyDescent="0.3">
      <c r="A894">
        <v>1</v>
      </c>
      <c r="B894">
        <v>394.53</v>
      </c>
      <c r="C894">
        <v>394.53</v>
      </c>
    </row>
    <row r="895" spans="1:3" x14ac:dyDescent="0.3">
      <c r="A895">
        <v>1</v>
      </c>
      <c r="B895">
        <v>678.01</v>
      </c>
      <c r="C895">
        <v>678.01</v>
      </c>
    </row>
    <row r="896" spans="1:3" x14ac:dyDescent="0.3">
      <c r="A896">
        <v>3</v>
      </c>
      <c r="B896">
        <v>575.01</v>
      </c>
      <c r="C896">
        <v>1725.03</v>
      </c>
    </row>
    <row r="897" spans="1:3" x14ac:dyDescent="0.3">
      <c r="A897">
        <v>3</v>
      </c>
      <c r="B897">
        <v>154.63999999999999</v>
      </c>
      <c r="C897">
        <v>463.92</v>
      </c>
    </row>
    <row r="898" spans="1:3" x14ac:dyDescent="0.3">
      <c r="A898">
        <v>3</v>
      </c>
      <c r="B898">
        <v>147.29</v>
      </c>
      <c r="C898">
        <v>441.87</v>
      </c>
    </row>
    <row r="899" spans="1:3" x14ac:dyDescent="0.3">
      <c r="A899">
        <v>4</v>
      </c>
      <c r="B899">
        <v>481.48</v>
      </c>
      <c r="C899">
        <v>1925.92</v>
      </c>
    </row>
    <row r="900" spans="1:3" x14ac:dyDescent="0.3">
      <c r="A900">
        <v>3</v>
      </c>
      <c r="B900">
        <v>158.37</v>
      </c>
      <c r="C900">
        <v>475.11</v>
      </c>
    </row>
    <row r="901" spans="1:3" x14ac:dyDescent="0.3">
      <c r="A901">
        <v>2</v>
      </c>
      <c r="B901">
        <v>323.37</v>
      </c>
      <c r="C901">
        <v>646.74</v>
      </c>
    </row>
    <row r="902" spans="1:3" x14ac:dyDescent="0.3">
      <c r="A902">
        <v>5</v>
      </c>
      <c r="B902">
        <v>73.83</v>
      </c>
      <c r="C902">
        <v>369.15</v>
      </c>
    </row>
    <row r="903" spans="1:3" x14ac:dyDescent="0.3">
      <c r="A903">
        <v>1</v>
      </c>
      <c r="B903">
        <v>458.63</v>
      </c>
      <c r="C903">
        <v>458.63</v>
      </c>
    </row>
    <row r="904" spans="1:3" x14ac:dyDescent="0.3">
      <c r="A904">
        <v>4</v>
      </c>
      <c r="B904">
        <v>180.25</v>
      </c>
      <c r="C904">
        <v>721</v>
      </c>
    </row>
    <row r="905" spans="1:3" x14ac:dyDescent="0.3">
      <c r="A905">
        <v>3</v>
      </c>
      <c r="B905">
        <v>473.49</v>
      </c>
      <c r="C905">
        <v>1420.47</v>
      </c>
    </row>
    <row r="906" spans="1:3" x14ac:dyDescent="0.3">
      <c r="A906">
        <v>4</v>
      </c>
      <c r="B906">
        <v>237.43</v>
      </c>
      <c r="C906">
        <v>949.72</v>
      </c>
    </row>
    <row r="907" spans="1:3" x14ac:dyDescent="0.3">
      <c r="A907">
        <v>1</v>
      </c>
      <c r="B907">
        <v>442.39</v>
      </c>
      <c r="C907">
        <v>442.39</v>
      </c>
    </row>
    <row r="908" spans="1:3" x14ac:dyDescent="0.3">
      <c r="A908">
        <v>1</v>
      </c>
      <c r="B908">
        <v>62.12</v>
      </c>
      <c r="C908">
        <v>62.12</v>
      </c>
    </row>
    <row r="909" spans="1:3" x14ac:dyDescent="0.3">
      <c r="A909">
        <v>5</v>
      </c>
      <c r="B909">
        <v>298.39</v>
      </c>
      <c r="C909">
        <v>1491.95</v>
      </c>
    </row>
    <row r="910" spans="1:3" x14ac:dyDescent="0.3">
      <c r="A910">
        <v>2</v>
      </c>
      <c r="B910">
        <v>697.93</v>
      </c>
      <c r="C910">
        <v>1395.86</v>
      </c>
    </row>
    <row r="911" spans="1:3" x14ac:dyDescent="0.3">
      <c r="A911">
        <v>2</v>
      </c>
      <c r="B911">
        <v>291.85000000000002</v>
      </c>
      <c r="C911">
        <v>583.70000000000005</v>
      </c>
    </row>
    <row r="912" spans="1:3" x14ac:dyDescent="0.3">
      <c r="A912">
        <v>3</v>
      </c>
      <c r="B912">
        <v>308.98</v>
      </c>
      <c r="C912">
        <v>926.94</v>
      </c>
    </row>
    <row r="913" spans="1:3" x14ac:dyDescent="0.3">
      <c r="A913">
        <v>5</v>
      </c>
      <c r="B913">
        <v>396.86</v>
      </c>
      <c r="C913">
        <v>1984.3</v>
      </c>
    </row>
    <row r="914" spans="1:3" x14ac:dyDescent="0.3">
      <c r="A914">
        <v>2</v>
      </c>
      <c r="B914">
        <v>139.69</v>
      </c>
      <c r="C914">
        <v>279.38</v>
      </c>
    </row>
    <row r="915" spans="1:3" x14ac:dyDescent="0.3">
      <c r="A915">
        <v>5</v>
      </c>
      <c r="B915">
        <v>475.95</v>
      </c>
      <c r="C915">
        <v>2379.75</v>
      </c>
    </row>
    <row r="916" spans="1:3" x14ac:dyDescent="0.3">
      <c r="A916">
        <v>1</v>
      </c>
      <c r="B916">
        <v>626.6</v>
      </c>
      <c r="C916">
        <v>626.6</v>
      </c>
    </row>
    <row r="917" spans="1:3" x14ac:dyDescent="0.3">
      <c r="A917">
        <v>4</v>
      </c>
      <c r="B917">
        <v>502.99</v>
      </c>
      <c r="C917">
        <v>2011.96</v>
      </c>
    </row>
    <row r="918" spans="1:3" x14ac:dyDescent="0.3">
      <c r="A918">
        <v>5</v>
      </c>
      <c r="B918">
        <v>578.83000000000004</v>
      </c>
      <c r="C918">
        <v>2894.15</v>
      </c>
    </row>
    <row r="919" spans="1:3" x14ac:dyDescent="0.3">
      <c r="A919">
        <v>5</v>
      </c>
      <c r="B919">
        <v>383.82</v>
      </c>
      <c r="C919">
        <v>1919.1</v>
      </c>
    </row>
    <row r="920" spans="1:3" x14ac:dyDescent="0.3">
      <c r="A920">
        <v>5</v>
      </c>
      <c r="B920">
        <v>368.25</v>
      </c>
      <c r="C920">
        <v>1841.25</v>
      </c>
    </row>
    <row r="921" spans="1:3" x14ac:dyDescent="0.3">
      <c r="A921">
        <v>2</v>
      </c>
      <c r="B921">
        <v>374.6</v>
      </c>
      <c r="C921">
        <v>749.2</v>
      </c>
    </row>
    <row r="922" spans="1:3" x14ac:dyDescent="0.3">
      <c r="A922">
        <v>2</v>
      </c>
      <c r="B922">
        <v>428.09</v>
      </c>
      <c r="C922">
        <v>856.18</v>
      </c>
    </row>
    <row r="923" spans="1:3" x14ac:dyDescent="0.3">
      <c r="A923">
        <v>1</v>
      </c>
      <c r="B923">
        <v>438.93</v>
      </c>
      <c r="C923">
        <v>438.93</v>
      </c>
    </row>
    <row r="924" spans="1:3" x14ac:dyDescent="0.3">
      <c r="A924">
        <v>2</v>
      </c>
      <c r="B924">
        <v>563.82000000000005</v>
      </c>
      <c r="C924">
        <v>1127.6400000000001</v>
      </c>
    </row>
    <row r="925" spans="1:3" x14ac:dyDescent="0.3">
      <c r="A925">
        <v>3</v>
      </c>
      <c r="B925">
        <v>649.92999999999995</v>
      </c>
      <c r="C925">
        <v>1949.79</v>
      </c>
    </row>
    <row r="926" spans="1:3" x14ac:dyDescent="0.3">
      <c r="A926">
        <v>5</v>
      </c>
      <c r="B926">
        <v>268.43</v>
      </c>
      <c r="C926">
        <v>1342.15</v>
      </c>
    </row>
    <row r="927" spans="1:3" x14ac:dyDescent="0.3">
      <c r="A927">
        <v>5</v>
      </c>
      <c r="B927">
        <v>502.47</v>
      </c>
      <c r="C927">
        <v>2512.35</v>
      </c>
    </row>
    <row r="928" spans="1:3" x14ac:dyDescent="0.3">
      <c r="A928">
        <v>1</v>
      </c>
      <c r="B928">
        <v>26.95</v>
      </c>
      <c r="C928">
        <v>26.95</v>
      </c>
    </row>
    <row r="929" spans="1:3" x14ac:dyDescent="0.3">
      <c r="A929">
        <v>4</v>
      </c>
      <c r="B929">
        <v>64.69</v>
      </c>
      <c r="C929">
        <v>258.76</v>
      </c>
    </row>
    <row r="930" spans="1:3" x14ac:dyDescent="0.3">
      <c r="A930">
        <v>3</v>
      </c>
      <c r="B930">
        <v>247.11</v>
      </c>
      <c r="C930">
        <v>741.33</v>
      </c>
    </row>
    <row r="931" spans="1:3" x14ac:dyDescent="0.3">
      <c r="A931">
        <v>2</v>
      </c>
      <c r="B931">
        <v>536.25</v>
      </c>
      <c r="C931">
        <v>1072.5</v>
      </c>
    </row>
    <row r="932" spans="1:3" x14ac:dyDescent="0.3">
      <c r="A932">
        <v>2</v>
      </c>
      <c r="B932">
        <v>456.04</v>
      </c>
      <c r="C932">
        <v>912.08</v>
      </c>
    </row>
    <row r="933" spans="1:3" x14ac:dyDescent="0.3">
      <c r="A933">
        <v>2</v>
      </c>
      <c r="B933">
        <v>40.229999999999997</v>
      </c>
      <c r="C933">
        <v>80.459999999999994</v>
      </c>
    </row>
    <row r="934" spans="1:3" x14ac:dyDescent="0.3">
      <c r="A934">
        <v>2</v>
      </c>
      <c r="B934">
        <v>72.39</v>
      </c>
      <c r="C934">
        <v>144.78</v>
      </c>
    </row>
    <row r="935" spans="1:3" x14ac:dyDescent="0.3">
      <c r="A935">
        <v>2</v>
      </c>
      <c r="B935">
        <v>394.16</v>
      </c>
      <c r="C935">
        <v>788.32</v>
      </c>
    </row>
    <row r="936" spans="1:3" x14ac:dyDescent="0.3">
      <c r="A936">
        <v>4</v>
      </c>
      <c r="B936">
        <v>119.84</v>
      </c>
      <c r="C936">
        <v>479.36</v>
      </c>
    </row>
    <row r="937" spans="1:3" x14ac:dyDescent="0.3">
      <c r="A937">
        <v>3</v>
      </c>
      <c r="B937">
        <v>692.71</v>
      </c>
      <c r="C937">
        <v>2078.13</v>
      </c>
    </row>
    <row r="938" spans="1:3" x14ac:dyDescent="0.3">
      <c r="A938">
        <v>4</v>
      </c>
      <c r="B938">
        <v>56.66</v>
      </c>
      <c r="C938">
        <v>226.64</v>
      </c>
    </row>
    <row r="939" spans="1:3" x14ac:dyDescent="0.3">
      <c r="A939">
        <v>2</v>
      </c>
      <c r="B939">
        <v>298.52999999999997</v>
      </c>
      <c r="C939">
        <v>597.05999999999995</v>
      </c>
    </row>
    <row r="940" spans="1:3" x14ac:dyDescent="0.3">
      <c r="A940">
        <v>3</v>
      </c>
      <c r="B940">
        <v>331.46</v>
      </c>
      <c r="C940">
        <v>994.37999999999988</v>
      </c>
    </row>
    <row r="941" spans="1:3" x14ac:dyDescent="0.3">
      <c r="A941">
        <v>2</v>
      </c>
      <c r="B941">
        <v>521.4</v>
      </c>
      <c r="C941">
        <v>1042.8</v>
      </c>
    </row>
    <row r="942" spans="1:3" x14ac:dyDescent="0.3">
      <c r="A942">
        <v>4</v>
      </c>
      <c r="B942">
        <v>305.32</v>
      </c>
      <c r="C942">
        <v>1221.28</v>
      </c>
    </row>
    <row r="943" spans="1:3" x14ac:dyDescent="0.3">
      <c r="A943">
        <v>5</v>
      </c>
      <c r="B943">
        <v>111.7</v>
      </c>
      <c r="C943">
        <v>558.5</v>
      </c>
    </row>
    <row r="944" spans="1:3" x14ac:dyDescent="0.3">
      <c r="A944">
        <v>1</v>
      </c>
      <c r="B944">
        <v>479.76</v>
      </c>
      <c r="C944">
        <v>479.76</v>
      </c>
    </row>
    <row r="945" spans="1:3" x14ac:dyDescent="0.3">
      <c r="A945">
        <v>3</v>
      </c>
      <c r="B945">
        <v>193.49</v>
      </c>
      <c r="C945">
        <v>580.47</v>
      </c>
    </row>
    <row r="946" spans="1:3" x14ac:dyDescent="0.3">
      <c r="A946">
        <v>2</v>
      </c>
      <c r="B946">
        <v>426.22</v>
      </c>
      <c r="C946">
        <v>852.44</v>
      </c>
    </row>
    <row r="947" spans="1:3" x14ac:dyDescent="0.3">
      <c r="A947">
        <v>5</v>
      </c>
      <c r="B947">
        <v>276.44</v>
      </c>
      <c r="C947">
        <v>1382.2</v>
      </c>
    </row>
    <row r="948" spans="1:3" x14ac:dyDescent="0.3">
      <c r="A948">
        <v>2</v>
      </c>
      <c r="B948">
        <v>404.96</v>
      </c>
      <c r="C948">
        <v>809.92</v>
      </c>
    </row>
    <row r="949" spans="1:3" x14ac:dyDescent="0.3">
      <c r="A949">
        <v>4</v>
      </c>
      <c r="B949">
        <v>465.66</v>
      </c>
      <c r="C949">
        <v>1862.64</v>
      </c>
    </row>
    <row r="950" spans="1:3" x14ac:dyDescent="0.3">
      <c r="A950">
        <v>2</v>
      </c>
      <c r="B950">
        <v>594.07000000000005</v>
      </c>
      <c r="C950">
        <v>1188.1400000000001</v>
      </c>
    </row>
    <row r="951" spans="1:3" x14ac:dyDescent="0.3">
      <c r="A951">
        <v>5</v>
      </c>
      <c r="B951">
        <v>110.38</v>
      </c>
      <c r="C951">
        <v>551.9</v>
      </c>
    </row>
    <row r="952" spans="1:3" x14ac:dyDescent="0.3">
      <c r="A952">
        <v>1</v>
      </c>
      <c r="B952">
        <v>596.24</v>
      </c>
      <c r="C952">
        <v>596.24</v>
      </c>
    </row>
    <row r="953" spans="1:3" x14ac:dyDescent="0.3">
      <c r="A953">
        <v>2</v>
      </c>
      <c r="B953">
        <v>306.24</v>
      </c>
      <c r="C953">
        <v>612.48</v>
      </c>
    </row>
    <row r="954" spans="1:3" x14ac:dyDescent="0.3">
      <c r="A954">
        <v>3</v>
      </c>
      <c r="B954">
        <v>503.39</v>
      </c>
      <c r="C954">
        <v>1510.17</v>
      </c>
    </row>
    <row r="955" spans="1:3" x14ac:dyDescent="0.3">
      <c r="A955">
        <v>1</v>
      </c>
      <c r="B955">
        <v>131.61000000000001</v>
      </c>
      <c r="C955">
        <v>131.61000000000001</v>
      </c>
    </row>
    <row r="956" spans="1:3" x14ac:dyDescent="0.3">
      <c r="A956">
        <v>3</v>
      </c>
      <c r="B956">
        <v>443.44</v>
      </c>
      <c r="C956">
        <v>1330.32</v>
      </c>
    </row>
    <row r="957" spans="1:3" x14ac:dyDescent="0.3">
      <c r="A957">
        <v>1</v>
      </c>
      <c r="B957">
        <v>408.13</v>
      </c>
      <c r="C957">
        <v>408.13</v>
      </c>
    </row>
    <row r="958" spans="1:3" x14ac:dyDescent="0.3">
      <c r="A958">
        <v>2</v>
      </c>
      <c r="B958">
        <v>160.97999999999999</v>
      </c>
      <c r="C958">
        <v>321.95999999999998</v>
      </c>
    </row>
    <row r="959" spans="1:3" x14ac:dyDescent="0.3">
      <c r="A959">
        <v>5</v>
      </c>
      <c r="B959">
        <v>643.89</v>
      </c>
      <c r="C959">
        <v>3219.45</v>
      </c>
    </row>
    <row r="960" spans="1:3" x14ac:dyDescent="0.3">
      <c r="A960">
        <v>3</v>
      </c>
      <c r="B960">
        <v>158.66</v>
      </c>
      <c r="C960">
        <v>475.98</v>
      </c>
    </row>
    <row r="961" spans="1:3" x14ac:dyDescent="0.3">
      <c r="A961">
        <v>2</v>
      </c>
      <c r="B961">
        <v>143.82</v>
      </c>
      <c r="C961">
        <v>287.64</v>
      </c>
    </row>
    <row r="962" spans="1:3" x14ac:dyDescent="0.3">
      <c r="A962">
        <v>3</v>
      </c>
      <c r="B962">
        <v>379.07</v>
      </c>
      <c r="C962">
        <v>1137.21</v>
      </c>
    </row>
    <row r="963" spans="1:3" x14ac:dyDescent="0.3">
      <c r="A963">
        <v>1</v>
      </c>
      <c r="B963">
        <v>601.36</v>
      </c>
      <c r="C963">
        <v>601.36</v>
      </c>
    </row>
    <row r="964" spans="1:3" x14ac:dyDescent="0.3">
      <c r="A964">
        <v>2</v>
      </c>
      <c r="B964">
        <v>142.08000000000001</v>
      </c>
      <c r="C964">
        <v>284.16000000000003</v>
      </c>
    </row>
    <row r="965" spans="1:3" x14ac:dyDescent="0.3">
      <c r="A965">
        <v>5</v>
      </c>
      <c r="B965">
        <v>530.34</v>
      </c>
      <c r="C965">
        <v>2651.7</v>
      </c>
    </row>
    <row r="966" spans="1:3" x14ac:dyDescent="0.3">
      <c r="A966">
        <v>5</v>
      </c>
      <c r="B966">
        <v>364.42</v>
      </c>
      <c r="C966">
        <v>1822.1</v>
      </c>
    </row>
    <row r="967" spans="1:3" x14ac:dyDescent="0.3">
      <c r="A967">
        <v>4</v>
      </c>
      <c r="B967">
        <v>578.28</v>
      </c>
      <c r="C967">
        <v>2313.12</v>
      </c>
    </row>
    <row r="968" spans="1:3" x14ac:dyDescent="0.3">
      <c r="A968">
        <v>5</v>
      </c>
      <c r="B968">
        <v>280.52</v>
      </c>
      <c r="C968">
        <v>1402.6</v>
      </c>
    </row>
    <row r="969" spans="1:3" x14ac:dyDescent="0.3">
      <c r="A969">
        <v>5</v>
      </c>
      <c r="B969">
        <v>638.91999999999996</v>
      </c>
      <c r="C969">
        <v>3194.6</v>
      </c>
    </row>
    <row r="970" spans="1:3" x14ac:dyDescent="0.3">
      <c r="A970">
        <v>4</v>
      </c>
      <c r="B970">
        <v>412.2</v>
      </c>
      <c r="C970">
        <v>1648.8</v>
      </c>
    </row>
    <row r="971" spans="1:3" x14ac:dyDescent="0.3">
      <c r="A971">
        <v>1</v>
      </c>
      <c r="B971">
        <v>440.34</v>
      </c>
      <c r="C971">
        <v>440.34</v>
      </c>
    </row>
    <row r="972" spans="1:3" x14ac:dyDescent="0.3">
      <c r="A972">
        <v>1</v>
      </c>
      <c r="B972">
        <v>627.15</v>
      </c>
      <c r="C972">
        <v>627.15</v>
      </c>
    </row>
    <row r="973" spans="1:3" x14ac:dyDescent="0.3">
      <c r="A973">
        <v>2</v>
      </c>
      <c r="B973">
        <v>605.26</v>
      </c>
      <c r="C973">
        <v>1210.52</v>
      </c>
    </row>
    <row r="974" spans="1:3" x14ac:dyDescent="0.3">
      <c r="A974">
        <v>1</v>
      </c>
      <c r="B974">
        <v>90.27</v>
      </c>
      <c r="C974">
        <v>90.27</v>
      </c>
    </row>
    <row r="975" spans="1:3" x14ac:dyDescent="0.3">
      <c r="A975">
        <v>5</v>
      </c>
      <c r="B975">
        <v>230.77</v>
      </c>
      <c r="C975">
        <v>1153.8499999999999</v>
      </c>
    </row>
    <row r="976" spans="1:3" x14ac:dyDescent="0.3">
      <c r="A976">
        <v>5</v>
      </c>
      <c r="B976">
        <v>266.77999999999997</v>
      </c>
      <c r="C976">
        <v>1333.9</v>
      </c>
    </row>
    <row r="977" spans="1:3" x14ac:dyDescent="0.3">
      <c r="A977">
        <v>1</v>
      </c>
      <c r="B977">
        <v>105.92</v>
      </c>
      <c r="C977">
        <v>105.92</v>
      </c>
    </row>
    <row r="978" spans="1:3" x14ac:dyDescent="0.3">
      <c r="A978">
        <v>3</v>
      </c>
      <c r="B978">
        <v>589.29999999999995</v>
      </c>
      <c r="C978">
        <v>1767.9</v>
      </c>
    </row>
    <row r="979" spans="1:3" x14ac:dyDescent="0.3">
      <c r="A979">
        <v>4</v>
      </c>
      <c r="B979">
        <v>649.47</v>
      </c>
      <c r="C979">
        <v>2597.88</v>
      </c>
    </row>
    <row r="980" spans="1:3" x14ac:dyDescent="0.3">
      <c r="A980">
        <v>4</v>
      </c>
      <c r="B980">
        <v>107.49</v>
      </c>
      <c r="C980">
        <v>429.96</v>
      </c>
    </row>
    <row r="981" spans="1:3" x14ac:dyDescent="0.3">
      <c r="A981">
        <v>3</v>
      </c>
      <c r="B981">
        <v>669.06</v>
      </c>
      <c r="C981">
        <v>2007.18</v>
      </c>
    </row>
    <row r="982" spans="1:3" x14ac:dyDescent="0.3">
      <c r="A982">
        <v>3</v>
      </c>
      <c r="B982">
        <v>69.650000000000006</v>
      </c>
      <c r="C982">
        <v>208.95</v>
      </c>
    </row>
    <row r="983" spans="1:3" x14ac:dyDescent="0.3">
      <c r="A983">
        <v>4</v>
      </c>
      <c r="B983">
        <v>136.83000000000001</v>
      </c>
      <c r="C983">
        <v>547.32000000000005</v>
      </c>
    </row>
    <row r="984" spans="1:3" x14ac:dyDescent="0.3">
      <c r="A984">
        <v>1</v>
      </c>
      <c r="B984">
        <v>304.11</v>
      </c>
      <c r="C984">
        <v>304.11</v>
      </c>
    </row>
    <row r="985" spans="1:3" x14ac:dyDescent="0.3">
      <c r="A985">
        <v>4</v>
      </c>
      <c r="B985">
        <v>296.27999999999997</v>
      </c>
      <c r="C985">
        <v>1185.1199999999999</v>
      </c>
    </row>
    <row r="986" spans="1:3" x14ac:dyDescent="0.3">
      <c r="A986">
        <v>1</v>
      </c>
      <c r="B986">
        <v>77.64</v>
      </c>
      <c r="C986">
        <v>77.64</v>
      </c>
    </row>
    <row r="987" spans="1:3" x14ac:dyDescent="0.3">
      <c r="A987">
        <v>1</v>
      </c>
      <c r="B987">
        <v>243.71</v>
      </c>
      <c r="C987">
        <v>243.71</v>
      </c>
    </row>
    <row r="988" spans="1:3" x14ac:dyDescent="0.3">
      <c r="A988">
        <v>4</v>
      </c>
      <c r="B988">
        <v>644.96</v>
      </c>
      <c r="C988">
        <v>2579.84</v>
      </c>
    </row>
    <row r="989" spans="1:3" x14ac:dyDescent="0.3">
      <c r="A989">
        <v>5</v>
      </c>
      <c r="B989">
        <v>283.73</v>
      </c>
      <c r="C989">
        <v>1418.65</v>
      </c>
    </row>
    <row r="990" spans="1:3" x14ac:dyDescent="0.3">
      <c r="A990">
        <v>2</v>
      </c>
      <c r="B990">
        <v>629.55999999999995</v>
      </c>
      <c r="C990">
        <v>1259.1199999999999</v>
      </c>
    </row>
    <row r="991" spans="1:3" x14ac:dyDescent="0.3">
      <c r="A991">
        <v>4</v>
      </c>
      <c r="B991">
        <v>246.11</v>
      </c>
      <c r="C991">
        <v>984.44</v>
      </c>
    </row>
    <row r="992" spans="1:3" x14ac:dyDescent="0.3">
      <c r="A992">
        <v>2</v>
      </c>
      <c r="B992">
        <v>418.26</v>
      </c>
      <c r="C992">
        <v>836.52</v>
      </c>
    </row>
    <row r="993" spans="1:3" x14ac:dyDescent="0.3">
      <c r="A993">
        <v>5</v>
      </c>
      <c r="B993">
        <v>127.18</v>
      </c>
      <c r="C993">
        <v>635.90000000000009</v>
      </c>
    </row>
    <row r="994" spans="1:3" x14ac:dyDescent="0.3">
      <c r="A994">
        <v>3</v>
      </c>
      <c r="B994">
        <v>586.21</v>
      </c>
      <c r="C994">
        <v>1758.63</v>
      </c>
    </row>
    <row r="995" spans="1:3" x14ac:dyDescent="0.3">
      <c r="A995">
        <v>3</v>
      </c>
      <c r="B995">
        <v>267.45</v>
      </c>
      <c r="C995">
        <v>802.34999999999991</v>
      </c>
    </row>
    <row r="996" spans="1:3" x14ac:dyDescent="0.3">
      <c r="A996">
        <v>4</v>
      </c>
      <c r="B996">
        <v>615.65</v>
      </c>
      <c r="C996">
        <v>2462.6</v>
      </c>
    </row>
    <row r="997" spans="1:3" x14ac:dyDescent="0.3">
      <c r="A997">
        <v>2</v>
      </c>
      <c r="B997">
        <v>113.29</v>
      </c>
      <c r="C997">
        <v>226.58</v>
      </c>
    </row>
    <row r="998" spans="1:3" x14ac:dyDescent="0.3">
      <c r="A998">
        <v>4</v>
      </c>
      <c r="B998">
        <v>473.86</v>
      </c>
      <c r="C998">
        <v>1895.44</v>
      </c>
    </row>
    <row r="999" spans="1:3" x14ac:dyDescent="0.3">
      <c r="A999">
        <v>3</v>
      </c>
      <c r="B999">
        <v>444.75</v>
      </c>
      <c r="C999">
        <v>1334.25</v>
      </c>
    </row>
    <row r="1000" spans="1:3" x14ac:dyDescent="0.3">
      <c r="A1000">
        <v>2</v>
      </c>
      <c r="B1000">
        <v>183.67</v>
      </c>
      <c r="C1000">
        <v>367.34</v>
      </c>
    </row>
    <row r="1001" spans="1:3" x14ac:dyDescent="0.3">
      <c r="A1001">
        <v>1</v>
      </c>
      <c r="B1001">
        <v>483.38</v>
      </c>
      <c r="C1001">
        <v>483.38</v>
      </c>
    </row>
    <row r="1002" spans="1:3" x14ac:dyDescent="0.3">
      <c r="A1002">
        <v>5</v>
      </c>
      <c r="B1002">
        <v>260.93</v>
      </c>
      <c r="C1002">
        <v>1304.6500000000001</v>
      </c>
    </row>
    <row r="1003" spans="1:3" x14ac:dyDescent="0.3">
      <c r="A1003">
        <v>2</v>
      </c>
      <c r="B1003">
        <v>253.68</v>
      </c>
      <c r="C1003">
        <v>507.36</v>
      </c>
    </row>
    <row r="1004" spans="1:3" x14ac:dyDescent="0.3">
      <c r="A1004">
        <v>4</v>
      </c>
      <c r="B1004">
        <v>699.88</v>
      </c>
      <c r="C1004">
        <v>2799.52</v>
      </c>
    </row>
    <row r="1005" spans="1:3" x14ac:dyDescent="0.3">
      <c r="A1005">
        <v>5</v>
      </c>
      <c r="B1005">
        <v>319.97000000000003</v>
      </c>
      <c r="C1005">
        <v>1599.85</v>
      </c>
    </row>
    <row r="1006" spans="1:3" x14ac:dyDescent="0.3">
      <c r="A1006">
        <v>4</v>
      </c>
      <c r="B1006">
        <v>246.91</v>
      </c>
      <c r="C1006">
        <v>987.64</v>
      </c>
    </row>
    <row r="1007" spans="1:3" x14ac:dyDescent="0.3">
      <c r="A1007">
        <v>3</v>
      </c>
      <c r="B1007">
        <v>392.85</v>
      </c>
      <c r="C1007">
        <v>1178.55</v>
      </c>
    </row>
    <row r="1008" spans="1:3" x14ac:dyDescent="0.3">
      <c r="A1008">
        <v>5</v>
      </c>
      <c r="B1008">
        <v>420.98</v>
      </c>
      <c r="C1008">
        <v>2104.9</v>
      </c>
    </row>
    <row r="1009" spans="1:3" x14ac:dyDescent="0.3">
      <c r="A1009">
        <v>2</v>
      </c>
      <c r="B1009">
        <v>73.260000000000005</v>
      </c>
      <c r="C1009">
        <v>146.52000000000001</v>
      </c>
    </row>
    <row r="1010" spans="1:3" x14ac:dyDescent="0.3">
      <c r="A1010">
        <v>3</v>
      </c>
      <c r="B1010">
        <v>410.88</v>
      </c>
      <c r="C1010">
        <v>1232.6400000000001</v>
      </c>
    </row>
    <row r="1011" spans="1:3" x14ac:dyDescent="0.3">
      <c r="A1011">
        <v>2</v>
      </c>
      <c r="B1011">
        <v>176.46</v>
      </c>
      <c r="C1011">
        <v>352.92</v>
      </c>
    </row>
    <row r="1012" spans="1:3" x14ac:dyDescent="0.3">
      <c r="A1012">
        <v>3</v>
      </c>
      <c r="B1012">
        <v>659.57</v>
      </c>
      <c r="C1012">
        <v>1978.71</v>
      </c>
    </row>
    <row r="1013" spans="1:3" x14ac:dyDescent="0.3">
      <c r="A1013">
        <v>2</v>
      </c>
      <c r="B1013">
        <v>478.36</v>
      </c>
      <c r="C1013">
        <v>956.72</v>
      </c>
    </row>
    <row r="1014" spans="1:3" x14ac:dyDescent="0.3">
      <c r="A1014">
        <v>4</v>
      </c>
      <c r="B1014">
        <v>30.05</v>
      </c>
      <c r="C1014">
        <v>120.2</v>
      </c>
    </row>
    <row r="1015" spans="1:3" x14ac:dyDescent="0.3">
      <c r="A1015">
        <v>4</v>
      </c>
      <c r="B1015">
        <v>300.56</v>
      </c>
      <c r="C1015">
        <v>1202.24</v>
      </c>
    </row>
    <row r="1016" spans="1:3" x14ac:dyDescent="0.3">
      <c r="A1016">
        <v>5</v>
      </c>
      <c r="B1016">
        <v>226.45</v>
      </c>
      <c r="C1016">
        <v>1132.25</v>
      </c>
    </row>
    <row r="1017" spans="1:3" x14ac:dyDescent="0.3">
      <c r="A1017">
        <v>2</v>
      </c>
      <c r="B1017">
        <v>349.4</v>
      </c>
      <c r="C1017">
        <v>698.8</v>
      </c>
    </row>
    <row r="1018" spans="1:3" x14ac:dyDescent="0.3">
      <c r="A1018">
        <v>5</v>
      </c>
      <c r="B1018">
        <v>268.77999999999997</v>
      </c>
      <c r="C1018">
        <v>1343.9</v>
      </c>
    </row>
    <row r="1019" spans="1:3" x14ac:dyDescent="0.3">
      <c r="A1019">
        <v>2</v>
      </c>
      <c r="B1019">
        <v>680.85</v>
      </c>
      <c r="C1019">
        <v>1361.7</v>
      </c>
    </row>
    <row r="1020" spans="1:3" x14ac:dyDescent="0.3">
      <c r="A1020">
        <v>3</v>
      </c>
      <c r="B1020">
        <v>182.48</v>
      </c>
      <c r="C1020">
        <v>547.43999999999994</v>
      </c>
    </row>
    <row r="1021" spans="1:3" x14ac:dyDescent="0.3">
      <c r="A1021">
        <v>1</v>
      </c>
      <c r="B1021">
        <v>277.08999999999997</v>
      </c>
      <c r="C1021">
        <v>277.08999999999997</v>
      </c>
    </row>
    <row r="1022" spans="1:3" x14ac:dyDescent="0.3">
      <c r="A1022">
        <v>2</v>
      </c>
      <c r="B1022">
        <v>26.5</v>
      </c>
      <c r="C1022">
        <v>53</v>
      </c>
    </row>
    <row r="1023" spans="1:3" x14ac:dyDescent="0.3">
      <c r="A1023">
        <v>3</v>
      </c>
      <c r="B1023">
        <v>315.27</v>
      </c>
      <c r="C1023">
        <v>945.81</v>
      </c>
    </row>
    <row r="1024" spans="1:3" x14ac:dyDescent="0.3">
      <c r="A1024">
        <v>3</v>
      </c>
      <c r="B1024">
        <v>450.98</v>
      </c>
      <c r="C1024">
        <v>1352.94</v>
      </c>
    </row>
    <row r="1025" spans="1:3" x14ac:dyDescent="0.3">
      <c r="A1025">
        <v>5</v>
      </c>
      <c r="B1025">
        <v>233.67</v>
      </c>
      <c r="C1025">
        <v>1168.3499999999999</v>
      </c>
    </row>
    <row r="1026" spans="1:3" x14ac:dyDescent="0.3">
      <c r="A1026">
        <v>3</v>
      </c>
      <c r="B1026">
        <v>367.75</v>
      </c>
      <c r="C1026">
        <v>1103.25</v>
      </c>
    </row>
    <row r="1027" spans="1:3" x14ac:dyDescent="0.3">
      <c r="A1027">
        <v>1</v>
      </c>
      <c r="B1027">
        <v>23.53</v>
      </c>
      <c r="C1027">
        <v>23.53</v>
      </c>
    </row>
    <row r="1028" spans="1:3" x14ac:dyDescent="0.3">
      <c r="A1028">
        <v>1</v>
      </c>
      <c r="B1028">
        <v>677.48</v>
      </c>
      <c r="C1028">
        <v>677.48</v>
      </c>
    </row>
    <row r="1029" spans="1:3" x14ac:dyDescent="0.3">
      <c r="A1029">
        <v>4</v>
      </c>
      <c r="B1029">
        <v>554.83000000000004</v>
      </c>
      <c r="C1029">
        <v>2219.3200000000002</v>
      </c>
    </row>
    <row r="1030" spans="1:3" x14ac:dyDescent="0.3">
      <c r="A1030">
        <v>4</v>
      </c>
      <c r="B1030">
        <v>440.31</v>
      </c>
      <c r="C1030">
        <v>1761.24</v>
      </c>
    </row>
    <row r="1031" spans="1:3" x14ac:dyDescent="0.3">
      <c r="A1031">
        <v>1</v>
      </c>
      <c r="B1031">
        <v>87.06</v>
      </c>
      <c r="C1031">
        <v>87.06</v>
      </c>
    </row>
    <row r="1032" spans="1:3" x14ac:dyDescent="0.3">
      <c r="A1032">
        <v>4</v>
      </c>
      <c r="B1032">
        <v>245.28</v>
      </c>
      <c r="C1032">
        <v>981.12</v>
      </c>
    </row>
    <row r="1033" spans="1:3" x14ac:dyDescent="0.3">
      <c r="A1033">
        <v>5</v>
      </c>
      <c r="B1033">
        <v>664.51</v>
      </c>
      <c r="C1033">
        <v>3322.55</v>
      </c>
    </row>
    <row r="1034" spans="1:3" x14ac:dyDescent="0.3">
      <c r="A1034">
        <v>1</v>
      </c>
      <c r="B1034">
        <v>618.67999999999995</v>
      </c>
      <c r="C1034">
        <v>618.67999999999995</v>
      </c>
    </row>
    <row r="1035" spans="1:3" x14ac:dyDescent="0.3">
      <c r="A1035">
        <v>1</v>
      </c>
      <c r="B1035">
        <v>370.85</v>
      </c>
      <c r="C1035">
        <v>370.85</v>
      </c>
    </row>
    <row r="1036" spans="1:3" x14ac:dyDescent="0.3">
      <c r="A1036">
        <v>4</v>
      </c>
      <c r="B1036">
        <v>517.98</v>
      </c>
      <c r="C1036">
        <v>2071.92</v>
      </c>
    </row>
    <row r="1037" spans="1:3" x14ac:dyDescent="0.3">
      <c r="A1037">
        <v>4</v>
      </c>
      <c r="B1037">
        <v>506.11</v>
      </c>
      <c r="C1037">
        <v>2024.44</v>
      </c>
    </row>
    <row r="1038" spans="1:3" x14ac:dyDescent="0.3">
      <c r="A1038">
        <v>3</v>
      </c>
      <c r="B1038">
        <v>413.83</v>
      </c>
      <c r="C1038">
        <v>1241.49</v>
      </c>
    </row>
    <row r="1039" spans="1:3" x14ac:dyDescent="0.3">
      <c r="A1039">
        <v>1</v>
      </c>
      <c r="B1039">
        <v>249.81</v>
      </c>
      <c r="C1039">
        <v>249.81</v>
      </c>
    </row>
    <row r="1040" spans="1:3" x14ac:dyDescent="0.3">
      <c r="A1040">
        <v>3</v>
      </c>
      <c r="B1040">
        <v>362.53</v>
      </c>
      <c r="C1040">
        <v>1087.5899999999999</v>
      </c>
    </row>
    <row r="1041" spans="1:3" x14ac:dyDescent="0.3">
      <c r="A1041">
        <v>2</v>
      </c>
      <c r="B1041">
        <v>299.23</v>
      </c>
      <c r="C1041">
        <v>598.46</v>
      </c>
    </row>
    <row r="1042" spans="1:3" x14ac:dyDescent="0.3">
      <c r="A1042">
        <v>1</v>
      </c>
      <c r="B1042">
        <v>536.07000000000005</v>
      </c>
      <c r="C1042">
        <v>536.07000000000005</v>
      </c>
    </row>
    <row r="1043" spans="1:3" x14ac:dyDescent="0.3">
      <c r="A1043">
        <v>4</v>
      </c>
      <c r="B1043">
        <v>558.9</v>
      </c>
      <c r="C1043">
        <v>2235.6</v>
      </c>
    </row>
    <row r="1044" spans="1:3" x14ac:dyDescent="0.3">
      <c r="A1044">
        <v>2</v>
      </c>
      <c r="B1044">
        <v>409.75</v>
      </c>
      <c r="C1044">
        <v>819.5</v>
      </c>
    </row>
    <row r="1045" spans="1:3" x14ac:dyDescent="0.3">
      <c r="A1045">
        <v>2</v>
      </c>
      <c r="B1045">
        <v>179.96</v>
      </c>
      <c r="C1045">
        <v>359.92</v>
      </c>
    </row>
    <row r="1046" spans="1:3" x14ac:dyDescent="0.3">
      <c r="A1046">
        <v>1</v>
      </c>
      <c r="B1046">
        <v>38.49</v>
      </c>
      <c r="C1046">
        <v>38.49</v>
      </c>
    </row>
    <row r="1047" spans="1:3" x14ac:dyDescent="0.3">
      <c r="A1047">
        <v>5</v>
      </c>
      <c r="B1047">
        <v>316.39999999999998</v>
      </c>
      <c r="C1047">
        <v>1582</v>
      </c>
    </row>
    <row r="1048" spans="1:3" x14ac:dyDescent="0.3">
      <c r="A1048">
        <v>3</v>
      </c>
      <c r="B1048">
        <v>547.15</v>
      </c>
      <c r="C1048">
        <v>1641.45</v>
      </c>
    </row>
    <row r="1049" spans="1:3" x14ac:dyDescent="0.3">
      <c r="A1049">
        <v>4</v>
      </c>
      <c r="B1049">
        <v>540.34</v>
      </c>
      <c r="C1049">
        <v>2161.36</v>
      </c>
    </row>
    <row r="1050" spans="1:3" x14ac:dyDescent="0.3">
      <c r="A1050">
        <v>4</v>
      </c>
      <c r="B1050">
        <v>73.650000000000006</v>
      </c>
      <c r="C1050">
        <v>294.60000000000002</v>
      </c>
    </row>
    <row r="1051" spans="1:3" x14ac:dyDescent="0.3">
      <c r="A1051">
        <v>5</v>
      </c>
      <c r="B1051">
        <v>391.86</v>
      </c>
      <c r="C1051">
        <v>1959.3</v>
      </c>
    </row>
    <row r="1052" spans="1:3" x14ac:dyDescent="0.3">
      <c r="A1052">
        <v>5</v>
      </c>
      <c r="B1052">
        <v>69.7</v>
      </c>
      <c r="C1052">
        <v>348.5</v>
      </c>
    </row>
    <row r="1053" spans="1:3" x14ac:dyDescent="0.3">
      <c r="A1053">
        <v>5</v>
      </c>
      <c r="B1053">
        <v>26.43</v>
      </c>
      <c r="C1053">
        <v>132.15</v>
      </c>
    </row>
    <row r="1054" spans="1:3" x14ac:dyDescent="0.3">
      <c r="A1054">
        <v>1</v>
      </c>
      <c r="B1054">
        <v>531.74</v>
      </c>
      <c r="C1054">
        <v>531.74</v>
      </c>
    </row>
    <row r="1055" spans="1:3" x14ac:dyDescent="0.3">
      <c r="A1055">
        <v>2</v>
      </c>
      <c r="B1055">
        <v>496.62</v>
      </c>
      <c r="C1055">
        <v>993.24</v>
      </c>
    </row>
    <row r="1056" spans="1:3" x14ac:dyDescent="0.3">
      <c r="A1056">
        <v>1</v>
      </c>
      <c r="B1056">
        <v>660.66</v>
      </c>
      <c r="C1056">
        <v>660.66</v>
      </c>
    </row>
    <row r="1057" spans="1:3" x14ac:dyDescent="0.3">
      <c r="A1057">
        <v>4</v>
      </c>
      <c r="B1057">
        <v>274.82</v>
      </c>
      <c r="C1057">
        <v>1099.28</v>
      </c>
    </row>
    <row r="1058" spans="1:3" x14ac:dyDescent="0.3">
      <c r="A1058">
        <v>2</v>
      </c>
      <c r="B1058">
        <v>486.35</v>
      </c>
      <c r="C1058">
        <v>972.7</v>
      </c>
    </row>
    <row r="1059" spans="1:3" x14ac:dyDescent="0.3">
      <c r="A1059">
        <v>3</v>
      </c>
      <c r="B1059">
        <v>428.88</v>
      </c>
      <c r="C1059">
        <v>1286.6400000000001</v>
      </c>
    </row>
    <row r="1060" spans="1:3" x14ac:dyDescent="0.3">
      <c r="A1060">
        <v>2</v>
      </c>
      <c r="B1060">
        <v>412.14</v>
      </c>
      <c r="C1060">
        <v>824.28</v>
      </c>
    </row>
    <row r="1061" spans="1:3" x14ac:dyDescent="0.3">
      <c r="A1061">
        <v>1</v>
      </c>
      <c r="B1061">
        <v>265.64</v>
      </c>
      <c r="C1061">
        <v>265.64</v>
      </c>
    </row>
    <row r="1062" spans="1:3" x14ac:dyDescent="0.3">
      <c r="A1062">
        <v>2</v>
      </c>
      <c r="B1062">
        <v>273.43</v>
      </c>
      <c r="C1062">
        <v>546.86</v>
      </c>
    </row>
    <row r="1063" spans="1:3" x14ac:dyDescent="0.3">
      <c r="A1063">
        <v>5</v>
      </c>
      <c r="B1063">
        <v>131.69999999999999</v>
      </c>
      <c r="C1063">
        <v>658.5</v>
      </c>
    </row>
    <row r="1064" spans="1:3" x14ac:dyDescent="0.3">
      <c r="A1064">
        <v>5</v>
      </c>
      <c r="B1064">
        <v>85.52</v>
      </c>
      <c r="C1064">
        <v>427.6</v>
      </c>
    </row>
    <row r="1065" spans="1:3" x14ac:dyDescent="0.3">
      <c r="A1065">
        <v>2</v>
      </c>
      <c r="B1065">
        <v>320.68</v>
      </c>
      <c r="C1065">
        <v>641.36</v>
      </c>
    </row>
    <row r="1066" spans="1:3" x14ac:dyDescent="0.3">
      <c r="A1066">
        <v>4</v>
      </c>
      <c r="B1066">
        <v>198.81</v>
      </c>
      <c r="C1066">
        <v>795.24</v>
      </c>
    </row>
    <row r="1067" spans="1:3" x14ac:dyDescent="0.3">
      <c r="A1067">
        <v>5</v>
      </c>
      <c r="B1067">
        <v>666.8</v>
      </c>
      <c r="C1067">
        <v>3334</v>
      </c>
    </row>
    <row r="1068" spans="1:3" x14ac:dyDescent="0.3">
      <c r="A1068">
        <v>1</v>
      </c>
      <c r="B1068">
        <v>355.09</v>
      </c>
      <c r="C1068">
        <v>355.09</v>
      </c>
    </row>
    <row r="1069" spans="1:3" x14ac:dyDescent="0.3">
      <c r="A1069">
        <v>2</v>
      </c>
      <c r="B1069">
        <v>316.2</v>
      </c>
      <c r="C1069">
        <v>632.4</v>
      </c>
    </row>
    <row r="1070" spans="1:3" x14ac:dyDescent="0.3">
      <c r="A1070">
        <v>1</v>
      </c>
      <c r="B1070">
        <v>133.38999999999999</v>
      </c>
      <c r="C1070">
        <v>133.38999999999999</v>
      </c>
    </row>
    <row r="1071" spans="1:3" x14ac:dyDescent="0.3">
      <c r="A1071">
        <v>1</v>
      </c>
      <c r="B1071">
        <v>454.23</v>
      </c>
      <c r="C1071">
        <v>454.23</v>
      </c>
    </row>
    <row r="1072" spans="1:3" x14ac:dyDescent="0.3">
      <c r="A1072">
        <v>4</v>
      </c>
      <c r="B1072">
        <v>491.29</v>
      </c>
      <c r="C1072">
        <v>1965.16</v>
      </c>
    </row>
    <row r="1073" spans="1:3" x14ac:dyDescent="0.3">
      <c r="A1073">
        <v>2</v>
      </c>
      <c r="B1073">
        <v>255.14</v>
      </c>
      <c r="C1073">
        <v>510.28</v>
      </c>
    </row>
    <row r="1074" spans="1:3" x14ac:dyDescent="0.3">
      <c r="A1074">
        <v>1</v>
      </c>
      <c r="B1074">
        <v>392.61</v>
      </c>
      <c r="C1074">
        <v>392.61</v>
      </c>
    </row>
    <row r="1075" spans="1:3" x14ac:dyDescent="0.3">
      <c r="A1075">
        <v>4</v>
      </c>
      <c r="B1075">
        <v>362.06</v>
      </c>
      <c r="C1075">
        <v>1448.24</v>
      </c>
    </row>
    <row r="1076" spans="1:3" x14ac:dyDescent="0.3">
      <c r="A1076">
        <v>1</v>
      </c>
      <c r="B1076">
        <v>222.73</v>
      </c>
      <c r="C1076">
        <v>222.73</v>
      </c>
    </row>
    <row r="1077" spans="1:3" x14ac:dyDescent="0.3">
      <c r="A1077">
        <v>2</v>
      </c>
      <c r="B1077">
        <v>552.63</v>
      </c>
      <c r="C1077">
        <v>1105.26</v>
      </c>
    </row>
    <row r="1078" spans="1:3" x14ac:dyDescent="0.3">
      <c r="A1078">
        <v>4</v>
      </c>
      <c r="B1078">
        <v>686.61</v>
      </c>
      <c r="C1078">
        <v>2746.44</v>
      </c>
    </row>
    <row r="1079" spans="1:3" x14ac:dyDescent="0.3">
      <c r="A1079">
        <v>3</v>
      </c>
      <c r="B1079">
        <v>305.16000000000003</v>
      </c>
      <c r="C1079">
        <v>915.48</v>
      </c>
    </row>
    <row r="1080" spans="1:3" x14ac:dyDescent="0.3">
      <c r="A1080">
        <v>1</v>
      </c>
      <c r="B1080">
        <v>41.09</v>
      </c>
      <c r="C1080">
        <v>41.09</v>
      </c>
    </row>
    <row r="1081" spans="1:3" x14ac:dyDescent="0.3">
      <c r="A1081">
        <v>5</v>
      </c>
      <c r="B1081">
        <v>634</v>
      </c>
      <c r="C1081">
        <v>3170</v>
      </c>
    </row>
    <row r="1082" spans="1:3" x14ac:dyDescent="0.3">
      <c r="A1082">
        <v>5</v>
      </c>
      <c r="B1082">
        <v>464.74</v>
      </c>
      <c r="C1082">
        <v>2323.6999999999998</v>
      </c>
    </row>
    <row r="1083" spans="1:3" x14ac:dyDescent="0.3">
      <c r="A1083">
        <v>4</v>
      </c>
      <c r="B1083">
        <v>425.6</v>
      </c>
      <c r="C1083">
        <v>1702.4</v>
      </c>
    </row>
    <row r="1084" spans="1:3" x14ac:dyDescent="0.3">
      <c r="A1084">
        <v>3</v>
      </c>
      <c r="B1084">
        <v>573.22</v>
      </c>
      <c r="C1084">
        <v>1719.66</v>
      </c>
    </row>
    <row r="1085" spans="1:3" x14ac:dyDescent="0.3">
      <c r="A1085">
        <v>1</v>
      </c>
      <c r="B1085">
        <v>123.28</v>
      </c>
      <c r="C1085">
        <v>123.28</v>
      </c>
    </row>
    <row r="1086" spans="1:3" x14ac:dyDescent="0.3">
      <c r="A1086">
        <v>1</v>
      </c>
      <c r="B1086">
        <v>70.819999999999993</v>
      </c>
      <c r="C1086">
        <v>70.819999999999993</v>
      </c>
    </row>
    <row r="1087" spans="1:3" x14ac:dyDescent="0.3">
      <c r="A1087">
        <v>2</v>
      </c>
      <c r="B1087">
        <v>646.69000000000005</v>
      </c>
      <c r="C1087">
        <v>1293.3800000000001</v>
      </c>
    </row>
    <row r="1088" spans="1:3" x14ac:dyDescent="0.3">
      <c r="A1088">
        <v>2</v>
      </c>
      <c r="B1088">
        <v>513.41999999999996</v>
      </c>
      <c r="C1088">
        <v>1026.8399999999999</v>
      </c>
    </row>
    <row r="1089" spans="1:3" x14ac:dyDescent="0.3">
      <c r="A1089">
        <v>4</v>
      </c>
      <c r="B1089">
        <v>693.07</v>
      </c>
      <c r="C1089">
        <v>2772.28</v>
      </c>
    </row>
    <row r="1090" spans="1:3" x14ac:dyDescent="0.3">
      <c r="A1090">
        <v>3</v>
      </c>
      <c r="B1090">
        <v>491.43</v>
      </c>
      <c r="C1090">
        <v>1474.29</v>
      </c>
    </row>
    <row r="1091" spans="1:3" x14ac:dyDescent="0.3">
      <c r="A1091">
        <v>2</v>
      </c>
      <c r="B1091">
        <v>599.74</v>
      </c>
      <c r="C1091">
        <v>1199.48</v>
      </c>
    </row>
    <row r="1092" spans="1:3" x14ac:dyDescent="0.3">
      <c r="A1092">
        <v>2</v>
      </c>
      <c r="B1092">
        <v>650.25</v>
      </c>
      <c r="C1092">
        <v>1300.5</v>
      </c>
    </row>
    <row r="1093" spans="1:3" x14ac:dyDescent="0.3">
      <c r="A1093">
        <v>3</v>
      </c>
      <c r="B1093">
        <v>209.48</v>
      </c>
      <c r="C1093">
        <v>628.43999999999994</v>
      </c>
    </row>
    <row r="1094" spans="1:3" x14ac:dyDescent="0.3">
      <c r="A1094">
        <v>5</v>
      </c>
      <c r="B1094">
        <v>209.2</v>
      </c>
      <c r="C1094">
        <v>1046</v>
      </c>
    </row>
    <row r="1095" spans="1:3" x14ac:dyDescent="0.3">
      <c r="A1095">
        <v>4</v>
      </c>
      <c r="B1095">
        <v>197.36</v>
      </c>
      <c r="C1095">
        <v>789.44</v>
      </c>
    </row>
    <row r="1096" spans="1:3" x14ac:dyDescent="0.3">
      <c r="A1096">
        <v>4</v>
      </c>
      <c r="B1096">
        <v>648.91</v>
      </c>
      <c r="C1096">
        <v>2595.64</v>
      </c>
    </row>
    <row r="1097" spans="1:3" x14ac:dyDescent="0.3">
      <c r="A1097">
        <v>2</v>
      </c>
      <c r="B1097">
        <v>441.54</v>
      </c>
      <c r="C1097">
        <v>883.08</v>
      </c>
    </row>
    <row r="1098" spans="1:3" x14ac:dyDescent="0.3">
      <c r="A1098">
        <v>2</v>
      </c>
      <c r="B1098">
        <v>464.92</v>
      </c>
      <c r="C1098">
        <v>929.84</v>
      </c>
    </row>
    <row r="1099" spans="1:3" x14ac:dyDescent="0.3">
      <c r="A1099">
        <v>5</v>
      </c>
      <c r="B1099">
        <v>506.45</v>
      </c>
      <c r="C1099">
        <v>2532.25</v>
      </c>
    </row>
    <row r="1100" spans="1:3" x14ac:dyDescent="0.3">
      <c r="A1100">
        <v>4</v>
      </c>
      <c r="B1100">
        <v>255.86</v>
      </c>
      <c r="C1100">
        <v>1023.44</v>
      </c>
    </row>
    <row r="1101" spans="1:3" x14ac:dyDescent="0.3">
      <c r="A1101">
        <v>2</v>
      </c>
      <c r="B1101">
        <v>125.23</v>
      </c>
      <c r="C1101">
        <v>250.46</v>
      </c>
    </row>
    <row r="1102" spans="1:3" x14ac:dyDescent="0.3">
      <c r="A1102">
        <v>5</v>
      </c>
      <c r="B1102">
        <v>38.11</v>
      </c>
      <c r="C1102">
        <v>190.55</v>
      </c>
    </row>
    <row r="1103" spans="1:3" x14ac:dyDescent="0.3">
      <c r="A1103">
        <v>3</v>
      </c>
      <c r="B1103">
        <v>161.97</v>
      </c>
      <c r="C1103">
        <v>485.91</v>
      </c>
    </row>
    <row r="1104" spans="1:3" x14ac:dyDescent="0.3">
      <c r="A1104">
        <v>4</v>
      </c>
      <c r="B1104">
        <v>347.17</v>
      </c>
      <c r="C1104">
        <v>1388.68</v>
      </c>
    </row>
    <row r="1105" spans="1:3" x14ac:dyDescent="0.3">
      <c r="A1105">
        <v>4</v>
      </c>
      <c r="B1105">
        <v>276.32</v>
      </c>
      <c r="C1105">
        <v>1105.28</v>
      </c>
    </row>
    <row r="1106" spans="1:3" x14ac:dyDescent="0.3">
      <c r="A1106">
        <v>4</v>
      </c>
      <c r="B1106">
        <v>314.76</v>
      </c>
      <c r="C1106">
        <v>1259.04</v>
      </c>
    </row>
    <row r="1107" spans="1:3" x14ac:dyDescent="0.3">
      <c r="A1107">
        <v>3</v>
      </c>
      <c r="B1107">
        <v>475.69</v>
      </c>
      <c r="C1107">
        <v>1427.07</v>
      </c>
    </row>
    <row r="1108" spans="1:3" x14ac:dyDescent="0.3">
      <c r="A1108">
        <v>1</v>
      </c>
      <c r="B1108">
        <v>372.8</v>
      </c>
      <c r="C1108">
        <v>372.8</v>
      </c>
    </row>
    <row r="1109" spans="1:3" x14ac:dyDescent="0.3">
      <c r="A1109">
        <v>2</v>
      </c>
      <c r="B1109">
        <v>63.21</v>
      </c>
      <c r="C1109">
        <v>126.42</v>
      </c>
    </row>
    <row r="1110" spans="1:3" x14ac:dyDescent="0.3">
      <c r="A1110">
        <v>1</v>
      </c>
      <c r="B1110">
        <v>634.94000000000005</v>
      </c>
      <c r="C1110">
        <v>634.94000000000005</v>
      </c>
    </row>
    <row r="1111" spans="1:3" x14ac:dyDescent="0.3">
      <c r="A1111">
        <v>4</v>
      </c>
      <c r="B1111">
        <v>77.47</v>
      </c>
      <c r="C1111">
        <v>309.88</v>
      </c>
    </row>
    <row r="1112" spans="1:3" x14ac:dyDescent="0.3">
      <c r="A1112">
        <v>3</v>
      </c>
      <c r="B1112">
        <v>84.31</v>
      </c>
      <c r="C1112">
        <v>252.93</v>
      </c>
    </row>
    <row r="1113" spans="1:3" x14ac:dyDescent="0.3">
      <c r="A1113">
        <v>4</v>
      </c>
      <c r="B1113">
        <v>234.45</v>
      </c>
      <c r="C1113">
        <v>937.8</v>
      </c>
    </row>
    <row r="1114" spans="1:3" x14ac:dyDescent="0.3">
      <c r="A1114">
        <v>1</v>
      </c>
      <c r="B1114">
        <v>356.81</v>
      </c>
      <c r="C1114">
        <v>356.81</v>
      </c>
    </row>
    <row r="1115" spans="1:3" x14ac:dyDescent="0.3">
      <c r="A1115">
        <v>4</v>
      </c>
      <c r="B1115">
        <v>209.99</v>
      </c>
      <c r="C1115">
        <v>839.96</v>
      </c>
    </row>
    <row r="1116" spans="1:3" x14ac:dyDescent="0.3">
      <c r="A1116">
        <v>3</v>
      </c>
      <c r="B1116">
        <v>659.88</v>
      </c>
      <c r="C1116">
        <v>1979.64</v>
      </c>
    </row>
    <row r="1117" spans="1:3" x14ac:dyDescent="0.3">
      <c r="A1117">
        <v>2</v>
      </c>
      <c r="B1117">
        <v>336.32</v>
      </c>
      <c r="C1117">
        <v>672.64</v>
      </c>
    </row>
    <row r="1118" spans="1:3" x14ac:dyDescent="0.3">
      <c r="A1118">
        <v>2</v>
      </c>
      <c r="B1118">
        <v>531.49</v>
      </c>
      <c r="C1118">
        <v>1062.98</v>
      </c>
    </row>
    <row r="1119" spans="1:3" x14ac:dyDescent="0.3">
      <c r="A1119">
        <v>3</v>
      </c>
      <c r="B1119">
        <v>588.44000000000005</v>
      </c>
      <c r="C1119">
        <v>1765.32</v>
      </c>
    </row>
    <row r="1120" spans="1:3" x14ac:dyDescent="0.3">
      <c r="A1120">
        <v>3</v>
      </c>
      <c r="B1120">
        <v>251.48</v>
      </c>
      <c r="C1120">
        <v>754.43999999999994</v>
      </c>
    </row>
    <row r="1121" spans="1:3" x14ac:dyDescent="0.3">
      <c r="A1121">
        <v>1</v>
      </c>
      <c r="B1121">
        <v>684.65</v>
      </c>
      <c r="C1121">
        <v>684.65</v>
      </c>
    </row>
    <row r="1122" spans="1:3" x14ac:dyDescent="0.3">
      <c r="A1122">
        <v>1</v>
      </c>
      <c r="B1122">
        <v>195.86</v>
      </c>
      <c r="C1122">
        <v>195.86</v>
      </c>
    </row>
    <row r="1123" spans="1:3" x14ac:dyDescent="0.3">
      <c r="A1123">
        <v>3</v>
      </c>
      <c r="B1123">
        <v>50.34</v>
      </c>
      <c r="C1123">
        <v>151.02000000000001</v>
      </c>
    </row>
    <row r="1124" spans="1:3" x14ac:dyDescent="0.3">
      <c r="A1124">
        <v>5</v>
      </c>
      <c r="B1124">
        <v>678.19</v>
      </c>
      <c r="C1124">
        <v>3390.95</v>
      </c>
    </row>
    <row r="1125" spans="1:3" x14ac:dyDescent="0.3">
      <c r="A1125">
        <v>3</v>
      </c>
      <c r="B1125">
        <v>554.25</v>
      </c>
      <c r="C1125">
        <v>1662.75</v>
      </c>
    </row>
    <row r="1126" spans="1:3" x14ac:dyDescent="0.3">
      <c r="A1126">
        <v>4</v>
      </c>
      <c r="B1126">
        <v>576.87</v>
      </c>
      <c r="C1126">
        <v>2307.48</v>
      </c>
    </row>
    <row r="1127" spans="1:3" x14ac:dyDescent="0.3">
      <c r="A1127">
        <v>4</v>
      </c>
      <c r="B1127">
        <v>408.36</v>
      </c>
      <c r="C1127">
        <v>1633.44</v>
      </c>
    </row>
    <row r="1128" spans="1:3" x14ac:dyDescent="0.3">
      <c r="A1128">
        <v>5</v>
      </c>
      <c r="B1128">
        <v>190.11</v>
      </c>
      <c r="C1128">
        <v>950.55000000000007</v>
      </c>
    </row>
    <row r="1129" spans="1:3" x14ac:dyDescent="0.3">
      <c r="A1129">
        <v>3</v>
      </c>
      <c r="B1129">
        <v>602.75</v>
      </c>
      <c r="C1129">
        <v>1808.25</v>
      </c>
    </row>
    <row r="1130" spans="1:3" x14ac:dyDescent="0.3">
      <c r="A1130">
        <v>3</v>
      </c>
      <c r="B1130">
        <v>646.79</v>
      </c>
      <c r="C1130">
        <v>1940.37</v>
      </c>
    </row>
    <row r="1131" spans="1:3" x14ac:dyDescent="0.3">
      <c r="A1131">
        <v>4</v>
      </c>
      <c r="B1131">
        <v>418.71</v>
      </c>
      <c r="C1131">
        <v>1674.84</v>
      </c>
    </row>
    <row r="1132" spans="1:3" x14ac:dyDescent="0.3">
      <c r="A1132">
        <v>2</v>
      </c>
      <c r="B1132">
        <v>323.45</v>
      </c>
      <c r="C1132">
        <v>646.9</v>
      </c>
    </row>
    <row r="1133" spans="1:3" x14ac:dyDescent="0.3">
      <c r="A1133">
        <v>1</v>
      </c>
      <c r="B1133">
        <v>694.5</v>
      </c>
      <c r="C1133">
        <v>694.5</v>
      </c>
    </row>
    <row r="1134" spans="1:3" x14ac:dyDescent="0.3">
      <c r="A1134">
        <v>2</v>
      </c>
      <c r="B1134">
        <v>337.32</v>
      </c>
      <c r="C1134">
        <v>674.64</v>
      </c>
    </row>
    <row r="1135" spans="1:3" x14ac:dyDescent="0.3">
      <c r="A1135">
        <v>2</v>
      </c>
      <c r="B1135">
        <v>467.91</v>
      </c>
      <c r="C1135">
        <v>935.82</v>
      </c>
    </row>
    <row r="1136" spans="1:3" x14ac:dyDescent="0.3">
      <c r="A1136">
        <v>4</v>
      </c>
      <c r="B1136">
        <v>38.28</v>
      </c>
      <c r="C1136">
        <v>153.12</v>
      </c>
    </row>
    <row r="1137" spans="1:3" x14ac:dyDescent="0.3">
      <c r="A1137">
        <v>2</v>
      </c>
      <c r="B1137">
        <v>73.41</v>
      </c>
      <c r="C1137">
        <v>146.82</v>
      </c>
    </row>
    <row r="1138" spans="1:3" x14ac:dyDescent="0.3">
      <c r="A1138">
        <v>3</v>
      </c>
      <c r="B1138">
        <v>668.33</v>
      </c>
      <c r="C1138">
        <v>2004.99</v>
      </c>
    </row>
    <row r="1139" spans="1:3" x14ac:dyDescent="0.3">
      <c r="A1139">
        <v>4</v>
      </c>
      <c r="B1139">
        <v>410.21</v>
      </c>
      <c r="C1139">
        <v>1640.84</v>
      </c>
    </row>
    <row r="1140" spans="1:3" x14ac:dyDescent="0.3">
      <c r="A1140">
        <v>4</v>
      </c>
      <c r="B1140">
        <v>294.41000000000003</v>
      </c>
      <c r="C1140">
        <v>1177.6400000000001</v>
      </c>
    </row>
    <row r="1141" spans="1:3" x14ac:dyDescent="0.3">
      <c r="A1141">
        <v>3</v>
      </c>
      <c r="B1141">
        <v>501.82</v>
      </c>
      <c r="C1141">
        <v>1505.46</v>
      </c>
    </row>
    <row r="1142" spans="1:3" x14ac:dyDescent="0.3">
      <c r="A1142">
        <v>2</v>
      </c>
      <c r="B1142">
        <v>552.83000000000004</v>
      </c>
      <c r="C1142">
        <v>1105.6600000000001</v>
      </c>
    </row>
    <row r="1143" spans="1:3" x14ac:dyDescent="0.3">
      <c r="A1143">
        <v>3</v>
      </c>
      <c r="B1143">
        <v>498.66</v>
      </c>
      <c r="C1143">
        <v>1495.98</v>
      </c>
    </row>
    <row r="1144" spans="1:3" x14ac:dyDescent="0.3">
      <c r="A1144">
        <v>4</v>
      </c>
      <c r="B1144">
        <v>695.1</v>
      </c>
      <c r="C1144">
        <v>2780.4</v>
      </c>
    </row>
    <row r="1145" spans="1:3" x14ac:dyDescent="0.3">
      <c r="A1145">
        <v>1</v>
      </c>
      <c r="B1145">
        <v>381.61</v>
      </c>
      <c r="C1145">
        <v>381.61</v>
      </c>
    </row>
    <row r="1146" spans="1:3" x14ac:dyDescent="0.3">
      <c r="A1146">
        <v>5</v>
      </c>
      <c r="B1146">
        <v>507.94</v>
      </c>
      <c r="C1146">
        <v>2539.6999999999998</v>
      </c>
    </row>
    <row r="1147" spans="1:3" x14ac:dyDescent="0.3">
      <c r="A1147">
        <v>3</v>
      </c>
      <c r="B1147">
        <v>571.53</v>
      </c>
      <c r="C1147">
        <v>1714.59</v>
      </c>
    </row>
    <row r="1148" spans="1:3" x14ac:dyDescent="0.3">
      <c r="A1148">
        <v>5</v>
      </c>
      <c r="B1148">
        <v>421.44</v>
      </c>
      <c r="C1148">
        <v>2107.1999999999998</v>
      </c>
    </row>
    <row r="1149" spans="1:3" x14ac:dyDescent="0.3">
      <c r="A1149">
        <v>2</v>
      </c>
      <c r="B1149">
        <v>588.29999999999995</v>
      </c>
      <c r="C1149">
        <v>1176.5999999999999</v>
      </c>
    </row>
    <row r="1150" spans="1:3" x14ac:dyDescent="0.3">
      <c r="A1150">
        <v>1</v>
      </c>
      <c r="B1150">
        <v>355.15</v>
      </c>
      <c r="C1150">
        <v>355.15</v>
      </c>
    </row>
    <row r="1151" spans="1:3" x14ac:dyDescent="0.3">
      <c r="A1151">
        <v>2</v>
      </c>
      <c r="B1151">
        <v>695.29</v>
      </c>
      <c r="C1151">
        <v>1390.58</v>
      </c>
    </row>
    <row r="1152" spans="1:3" x14ac:dyDescent="0.3">
      <c r="A1152">
        <v>4</v>
      </c>
      <c r="B1152">
        <v>302.64999999999998</v>
      </c>
      <c r="C1152">
        <v>1210.5999999999999</v>
      </c>
    </row>
    <row r="1153" spans="1:3" x14ac:dyDescent="0.3">
      <c r="A1153">
        <v>2</v>
      </c>
      <c r="B1153">
        <v>608.04</v>
      </c>
      <c r="C1153">
        <v>1216.08</v>
      </c>
    </row>
    <row r="1154" spans="1:3" x14ac:dyDescent="0.3">
      <c r="A1154">
        <v>2</v>
      </c>
      <c r="B1154">
        <v>344.18</v>
      </c>
      <c r="C1154">
        <v>688.36</v>
      </c>
    </row>
    <row r="1155" spans="1:3" x14ac:dyDescent="0.3">
      <c r="A1155">
        <v>4</v>
      </c>
      <c r="B1155">
        <v>696.71</v>
      </c>
      <c r="C1155">
        <v>2786.84</v>
      </c>
    </row>
    <row r="1156" spans="1:3" x14ac:dyDescent="0.3">
      <c r="A1156">
        <v>3</v>
      </c>
      <c r="B1156">
        <v>198.63</v>
      </c>
      <c r="C1156">
        <v>595.89</v>
      </c>
    </row>
    <row r="1157" spans="1:3" x14ac:dyDescent="0.3">
      <c r="A1157">
        <v>4</v>
      </c>
      <c r="B1157">
        <v>534.57000000000005</v>
      </c>
      <c r="C1157">
        <v>2138.2800000000002</v>
      </c>
    </row>
    <row r="1158" spans="1:3" x14ac:dyDescent="0.3">
      <c r="A1158">
        <v>4</v>
      </c>
      <c r="B1158">
        <v>690.78</v>
      </c>
      <c r="C1158">
        <v>2763.12</v>
      </c>
    </row>
    <row r="1159" spans="1:3" x14ac:dyDescent="0.3">
      <c r="A1159">
        <v>3</v>
      </c>
      <c r="B1159">
        <v>301.55</v>
      </c>
      <c r="C1159">
        <v>904.65000000000009</v>
      </c>
    </row>
    <row r="1160" spans="1:3" x14ac:dyDescent="0.3">
      <c r="A1160">
        <v>4</v>
      </c>
      <c r="B1160">
        <v>27.42</v>
      </c>
      <c r="C1160">
        <v>109.68</v>
      </c>
    </row>
    <row r="1161" spans="1:3" x14ac:dyDescent="0.3">
      <c r="A1161">
        <v>4</v>
      </c>
      <c r="B1161">
        <v>466.7</v>
      </c>
      <c r="C1161">
        <v>1866.8</v>
      </c>
    </row>
    <row r="1162" spans="1:3" x14ac:dyDescent="0.3">
      <c r="A1162">
        <v>1</v>
      </c>
      <c r="B1162">
        <v>541.64</v>
      </c>
      <c r="C1162">
        <v>541.64</v>
      </c>
    </row>
    <row r="1163" spans="1:3" x14ac:dyDescent="0.3">
      <c r="A1163">
        <v>1</v>
      </c>
      <c r="B1163">
        <v>11.39</v>
      </c>
      <c r="C1163">
        <v>11.39</v>
      </c>
    </row>
    <row r="1164" spans="1:3" x14ac:dyDescent="0.3">
      <c r="A1164">
        <v>2</v>
      </c>
      <c r="B1164">
        <v>224.37</v>
      </c>
      <c r="C1164">
        <v>448.74</v>
      </c>
    </row>
    <row r="1165" spans="1:3" x14ac:dyDescent="0.3">
      <c r="A1165">
        <v>3</v>
      </c>
      <c r="B1165">
        <v>306.29000000000002</v>
      </c>
      <c r="C1165">
        <v>918.87000000000012</v>
      </c>
    </row>
    <row r="1166" spans="1:3" x14ac:dyDescent="0.3">
      <c r="A1166">
        <v>5</v>
      </c>
      <c r="B1166">
        <v>315.57</v>
      </c>
      <c r="C1166">
        <v>1577.85</v>
      </c>
    </row>
    <row r="1167" spans="1:3" x14ac:dyDescent="0.3">
      <c r="A1167">
        <v>3</v>
      </c>
      <c r="B1167">
        <v>223.79</v>
      </c>
      <c r="C1167">
        <v>671.37</v>
      </c>
    </row>
    <row r="1168" spans="1:3" x14ac:dyDescent="0.3">
      <c r="A1168">
        <v>3</v>
      </c>
      <c r="B1168">
        <v>324.47000000000003</v>
      </c>
      <c r="C1168">
        <v>973.41000000000008</v>
      </c>
    </row>
    <row r="1169" spans="1:3" x14ac:dyDescent="0.3">
      <c r="A1169">
        <v>2</v>
      </c>
      <c r="B1169">
        <v>92.87</v>
      </c>
      <c r="C1169">
        <v>185.74</v>
      </c>
    </row>
    <row r="1170" spans="1:3" x14ac:dyDescent="0.3">
      <c r="A1170">
        <v>2</v>
      </c>
      <c r="B1170">
        <v>331.42</v>
      </c>
      <c r="C1170">
        <v>662.84</v>
      </c>
    </row>
    <row r="1171" spans="1:3" x14ac:dyDescent="0.3">
      <c r="A1171">
        <v>1</v>
      </c>
      <c r="B1171">
        <v>525.42999999999995</v>
      </c>
      <c r="C1171">
        <v>525.42999999999995</v>
      </c>
    </row>
    <row r="1172" spans="1:3" x14ac:dyDescent="0.3">
      <c r="A1172">
        <v>2</v>
      </c>
      <c r="B1172">
        <v>697.19</v>
      </c>
      <c r="C1172">
        <v>1394.38</v>
      </c>
    </row>
    <row r="1173" spans="1:3" x14ac:dyDescent="0.3">
      <c r="A1173">
        <v>4</v>
      </c>
      <c r="B1173">
        <v>518.4</v>
      </c>
      <c r="C1173">
        <v>2073.6</v>
      </c>
    </row>
    <row r="1174" spans="1:3" x14ac:dyDescent="0.3">
      <c r="A1174">
        <v>3</v>
      </c>
      <c r="B1174">
        <v>131.96</v>
      </c>
      <c r="C1174">
        <v>395.88</v>
      </c>
    </row>
    <row r="1175" spans="1:3" x14ac:dyDescent="0.3">
      <c r="A1175">
        <v>1</v>
      </c>
      <c r="B1175">
        <v>208.36</v>
      </c>
      <c r="C1175">
        <v>208.36</v>
      </c>
    </row>
    <row r="1176" spans="1:3" x14ac:dyDescent="0.3">
      <c r="A1176">
        <v>3</v>
      </c>
      <c r="B1176">
        <v>222.34</v>
      </c>
      <c r="C1176">
        <v>667.02</v>
      </c>
    </row>
    <row r="1177" spans="1:3" x14ac:dyDescent="0.3">
      <c r="A1177">
        <v>3</v>
      </c>
      <c r="B1177">
        <v>91.74</v>
      </c>
      <c r="C1177">
        <v>275.22000000000003</v>
      </c>
    </row>
    <row r="1178" spans="1:3" x14ac:dyDescent="0.3">
      <c r="A1178">
        <v>2</v>
      </c>
      <c r="B1178">
        <v>213.83</v>
      </c>
      <c r="C1178">
        <v>427.66</v>
      </c>
    </row>
    <row r="1179" spans="1:3" x14ac:dyDescent="0.3">
      <c r="A1179">
        <v>1</v>
      </c>
      <c r="B1179">
        <v>127.55</v>
      </c>
      <c r="C1179">
        <v>127.55</v>
      </c>
    </row>
    <row r="1180" spans="1:3" x14ac:dyDescent="0.3">
      <c r="A1180">
        <v>1</v>
      </c>
      <c r="B1180">
        <v>70.239999999999995</v>
      </c>
      <c r="C1180">
        <v>70.239999999999995</v>
      </c>
    </row>
    <row r="1181" spans="1:3" x14ac:dyDescent="0.3">
      <c r="A1181">
        <v>5</v>
      </c>
      <c r="B1181">
        <v>518.54999999999995</v>
      </c>
      <c r="C1181">
        <v>2592.75</v>
      </c>
    </row>
    <row r="1182" spans="1:3" x14ac:dyDescent="0.3">
      <c r="A1182">
        <v>4</v>
      </c>
      <c r="B1182">
        <v>298.36</v>
      </c>
      <c r="C1182">
        <v>1193.44</v>
      </c>
    </row>
    <row r="1183" spans="1:3" x14ac:dyDescent="0.3">
      <c r="A1183">
        <v>3</v>
      </c>
      <c r="B1183">
        <v>158.74</v>
      </c>
      <c r="C1183">
        <v>476.22</v>
      </c>
    </row>
    <row r="1184" spans="1:3" x14ac:dyDescent="0.3">
      <c r="A1184">
        <v>2</v>
      </c>
      <c r="B1184">
        <v>420.29</v>
      </c>
      <c r="C1184">
        <v>840.58</v>
      </c>
    </row>
    <row r="1185" spans="1:3" x14ac:dyDescent="0.3">
      <c r="A1185">
        <v>1</v>
      </c>
      <c r="B1185">
        <v>281.52</v>
      </c>
      <c r="C1185">
        <v>281.52</v>
      </c>
    </row>
    <row r="1186" spans="1:3" x14ac:dyDescent="0.3">
      <c r="A1186">
        <v>1</v>
      </c>
      <c r="B1186">
        <v>204.08</v>
      </c>
      <c r="C1186">
        <v>204.08</v>
      </c>
    </row>
    <row r="1187" spans="1:3" x14ac:dyDescent="0.3">
      <c r="A1187">
        <v>1</v>
      </c>
      <c r="B1187">
        <v>343.31</v>
      </c>
      <c r="C1187">
        <v>343.31</v>
      </c>
    </row>
    <row r="1188" spans="1:3" x14ac:dyDescent="0.3">
      <c r="A1188">
        <v>1</v>
      </c>
      <c r="B1188">
        <v>163.32</v>
      </c>
      <c r="C1188">
        <v>163.32</v>
      </c>
    </row>
    <row r="1189" spans="1:3" x14ac:dyDescent="0.3">
      <c r="A1189">
        <v>2</v>
      </c>
      <c r="B1189">
        <v>184.6</v>
      </c>
      <c r="C1189">
        <v>369.2</v>
      </c>
    </row>
    <row r="1190" spans="1:3" x14ac:dyDescent="0.3">
      <c r="A1190">
        <v>2</v>
      </c>
      <c r="B1190">
        <v>371.29</v>
      </c>
      <c r="C1190">
        <v>742.58</v>
      </c>
    </row>
    <row r="1191" spans="1:3" x14ac:dyDescent="0.3">
      <c r="A1191">
        <v>5</v>
      </c>
      <c r="B1191">
        <v>389.22</v>
      </c>
      <c r="C1191">
        <v>1946.1</v>
      </c>
    </row>
    <row r="1192" spans="1:3" x14ac:dyDescent="0.3">
      <c r="A1192">
        <v>3</v>
      </c>
      <c r="B1192">
        <v>616.39</v>
      </c>
      <c r="C1192">
        <v>1849.17</v>
      </c>
    </row>
    <row r="1193" spans="1:3" x14ac:dyDescent="0.3">
      <c r="A1193">
        <v>4</v>
      </c>
      <c r="B1193">
        <v>376.43</v>
      </c>
      <c r="C1193">
        <v>1505.72</v>
      </c>
    </row>
    <row r="1194" spans="1:3" x14ac:dyDescent="0.3">
      <c r="A1194">
        <v>3</v>
      </c>
      <c r="B1194">
        <v>432.85</v>
      </c>
      <c r="C1194">
        <v>1298.55</v>
      </c>
    </row>
    <row r="1195" spans="1:3" x14ac:dyDescent="0.3">
      <c r="A1195">
        <v>1</v>
      </c>
      <c r="B1195">
        <v>687.89</v>
      </c>
      <c r="C1195">
        <v>687.89</v>
      </c>
    </row>
    <row r="1196" spans="1:3" x14ac:dyDescent="0.3">
      <c r="A1196">
        <v>3</v>
      </c>
      <c r="B1196">
        <v>189.44</v>
      </c>
      <c r="C1196">
        <v>568.31999999999994</v>
      </c>
    </row>
    <row r="1197" spans="1:3" x14ac:dyDescent="0.3">
      <c r="A1197">
        <v>1</v>
      </c>
      <c r="B1197">
        <v>107.04</v>
      </c>
      <c r="C1197">
        <v>107.04</v>
      </c>
    </row>
    <row r="1198" spans="1:3" x14ac:dyDescent="0.3">
      <c r="A1198">
        <v>2</v>
      </c>
      <c r="B1198">
        <v>662.53</v>
      </c>
      <c r="C1198">
        <v>1325.06</v>
      </c>
    </row>
    <row r="1199" spans="1:3" x14ac:dyDescent="0.3">
      <c r="A1199">
        <v>2</v>
      </c>
      <c r="B1199">
        <v>436.84</v>
      </c>
      <c r="C1199">
        <v>873.68</v>
      </c>
    </row>
    <row r="1200" spans="1:3" x14ac:dyDescent="0.3">
      <c r="A1200">
        <v>4</v>
      </c>
      <c r="B1200">
        <v>262.52</v>
      </c>
      <c r="C1200">
        <v>1050.08</v>
      </c>
    </row>
    <row r="1201" spans="1:3" x14ac:dyDescent="0.3">
      <c r="A1201">
        <v>4</v>
      </c>
      <c r="B1201">
        <v>560.58000000000004</v>
      </c>
      <c r="C1201">
        <v>2242.3200000000002</v>
      </c>
    </row>
  </sheetData>
  <mergeCells count="1">
    <mergeCell ref="P3:S9"/>
  </mergeCells>
  <conditionalFormatting sqref="C1:C1048576">
    <cfRule type="cellIs" dxfId="0" priority="1" operator="greaterThan">
      <formula>3330.41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1475-CD4A-43E8-A7DA-5EE518A6A98D}">
  <dimension ref="A2:B94"/>
  <sheetViews>
    <sheetView tabSelected="1" zoomScale="51" workbookViewId="0">
      <selection activeCell="J82" sqref="J82"/>
    </sheetView>
  </sheetViews>
  <sheetFormatPr defaultRowHeight="14.4" x14ac:dyDescent="0.3"/>
  <cols>
    <col min="1" max="1" width="12.5546875" bestFit="1" customWidth="1"/>
    <col min="2" max="2" width="19" bestFit="1" customWidth="1"/>
    <col min="3" max="3" width="15.5546875" bestFit="1" customWidth="1"/>
    <col min="4" max="4" width="12.5546875" bestFit="1" customWidth="1"/>
    <col min="5" max="5" width="19.109375" bestFit="1" customWidth="1"/>
    <col min="6" max="6" width="10.77734375" bestFit="1" customWidth="1"/>
    <col min="8" max="8" width="12.5546875" bestFit="1" customWidth="1"/>
    <col min="9" max="9" width="15.88671875" bestFit="1" customWidth="1"/>
    <col min="11" max="11" width="13.109375" bestFit="1" customWidth="1"/>
    <col min="12" max="12" width="21.6640625" bestFit="1" customWidth="1"/>
  </cols>
  <sheetData>
    <row r="2" spans="1:2" ht="18" x14ac:dyDescent="0.35">
      <c r="A2" s="10" t="s">
        <v>4297</v>
      </c>
    </row>
    <row r="3" spans="1:2" x14ac:dyDescent="0.3">
      <c r="A3" s="8" t="s">
        <v>4295</v>
      </c>
      <c r="B3" t="s">
        <v>4296</v>
      </c>
    </row>
    <row r="4" spans="1:2" x14ac:dyDescent="0.3">
      <c r="A4" s="9" t="s">
        <v>3071</v>
      </c>
      <c r="B4">
        <v>250</v>
      </c>
    </row>
    <row r="5" spans="1:2" x14ac:dyDescent="0.3">
      <c r="A5" s="9" t="s">
        <v>3073</v>
      </c>
      <c r="B5">
        <v>231</v>
      </c>
    </row>
    <row r="6" spans="1:2" x14ac:dyDescent="0.3">
      <c r="A6" s="9" t="s">
        <v>3074</v>
      </c>
      <c r="B6">
        <v>237</v>
      </c>
    </row>
    <row r="7" spans="1:2" x14ac:dyDescent="0.3">
      <c r="A7" s="9" t="s">
        <v>3072</v>
      </c>
      <c r="B7">
        <v>247</v>
      </c>
    </row>
    <row r="8" spans="1:2" x14ac:dyDescent="0.3">
      <c r="A8" s="9" t="s">
        <v>3070</v>
      </c>
      <c r="B8">
        <v>235</v>
      </c>
    </row>
    <row r="9" spans="1:2" x14ac:dyDescent="0.3">
      <c r="A9" s="9" t="s">
        <v>4294</v>
      </c>
      <c r="B9">
        <v>1200</v>
      </c>
    </row>
    <row r="12" spans="1:2" ht="21" x14ac:dyDescent="0.4">
      <c r="A12" s="11" t="s">
        <v>4298</v>
      </c>
    </row>
    <row r="13" spans="1:2" x14ac:dyDescent="0.3">
      <c r="A13" s="8" t="s">
        <v>4295</v>
      </c>
      <c r="B13" t="s">
        <v>4299</v>
      </c>
    </row>
    <row r="14" spans="1:2" x14ac:dyDescent="0.3">
      <c r="A14" s="9" t="s">
        <v>2406</v>
      </c>
      <c r="B14">
        <v>178</v>
      </c>
    </row>
    <row r="15" spans="1:2" x14ac:dyDescent="0.3">
      <c r="A15" s="9" t="s">
        <v>2409</v>
      </c>
      <c r="B15">
        <v>170</v>
      </c>
    </row>
    <row r="16" spans="1:2" x14ac:dyDescent="0.3">
      <c r="A16" s="9" t="s">
        <v>2408</v>
      </c>
      <c r="B16">
        <v>173</v>
      </c>
    </row>
    <row r="17" spans="1:2" x14ac:dyDescent="0.3">
      <c r="A17" s="9" t="s">
        <v>2403</v>
      </c>
      <c r="B17">
        <v>163</v>
      </c>
    </row>
    <row r="18" spans="1:2" x14ac:dyDescent="0.3">
      <c r="A18" s="9" t="s">
        <v>2404</v>
      </c>
      <c r="B18">
        <v>156</v>
      </c>
    </row>
    <row r="19" spans="1:2" x14ac:dyDescent="0.3">
      <c r="A19" s="9" t="s">
        <v>2407</v>
      </c>
      <c r="B19">
        <v>181</v>
      </c>
    </row>
    <row r="20" spans="1:2" x14ac:dyDescent="0.3">
      <c r="A20" s="9" t="s">
        <v>2405</v>
      </c>
      <c r="B20">
        <v>179</v>
      </c>
    </row>
    <row r="21" spans="1:2" x14ac:dyDescent="0.3">
      <c r="A21" s="9" t="s">
        <v>4294</v>
      </c>
      <c r="B21">
        <v>1200</v>
      </c>
    </row>
    <row r="24" spans="1:2" ht="18" x14ac:dyDescent="0.35">
      <c r="A24" s="10" t="s">
        <v>4300</v>
      </c>
    </row>
    <row r="25" spans="1:2" x14ac:dyDescent="0.3">
      <c r="A25" s="8" t="s">
        <v>4295</v>
      </c>
      <c r="B25" t="s">
        <v>4302</v>
      </c>
    </row>
    <row r="26" spans="1:2" x14ac:dyDescent="0.3">
      <c r="A26" s="9" t="s">
        <v>2406</v>
      </c>
      <c r="B26" s="3">
        <v>1098.989382022472</v>
      </c>
    </row>
    <row r="27" spans="1:2" x14ac:dyDescent="0.3">
      <c r="A27" s="9" t="s">
        <v>2409</v>
      </c>
      <c r="B27" s="3">
        <v>985.05841176470585</v>
      </c>
    </row>
    <row r="28" spans="1:2" x14ac:dyDescent="0.3">
      <c r="A28" s="9" t="s">
        <v>2408</v>
      </c>
      <c r="B28" s="3">
        <v>1110.558150289017</v>
      </c>
    </row>
    <row r="29" spans="1:2" x14ac:dyDescent="0.3">
      <c r="A29" s="9" t="s">
        <v>2403</v>
      </c>
      <c r="B29" s="3">
        <v>1077.6160122699384</v>
      </c>
    </row>
    <row r="30" spans="1:2" x14ac:dyDescent="0.3">
      <c r="A30" s="9" t="s">
        <v>2404</v>
      </c>
      <c r="B30" s="3">
        <v>972.57942307692315</v>
      </c>
    </row>
    <row r="31" spans="1:2" x14ac:dyDescent="0.3">
      <c r="A31" s="9" t="s">
        <v>2407</v>
      </c>
      <c r="B31" s="3">
        <v>1080.7326519337014</v>
      </c>
    </row>
    <row r="32" spans="1:2" x14ac:dyDescent="0.3">
      <c r="A32" s="9" t="s">
        <v>2405</v>
      </c>
      <c r="B32" s="3">
        <v>1042.2846368715088</v>
      </c>
    </row>
    <row r="33" spans="1:2" x14ac:dyDescent="0.3">
      <c r="A33" s="9" t="s">
        <v>4294</v>
      </c>
      <c r="B33" s="3">
        <v>1053.9682999999991</v>
      </c>
    </row>
    <row r="36" spans="1:2" ht="21" x14ac:dyDescent="0.4">
      <c r="A36" s="7" t="s">
        <v>4303</v>
      </c>
    </row>
    <row r="37" spans="1:2" x14ac:dyDescent="0.3">
      <c r="A37" s="8" t="s">
        <v>4295</v>
      </c>
      <c r="B37" t="s">
        <v>4301</v>
      </c>
    </row>
    <row r="38" spans="1:2" x14ac:dyDescent="0.3">
      <c r="A38" s="9" t="s">
        <v>2406</v>
      </c>
      <c r="B38" s="3">
        <v>195620.11000000002</v>
      </c>
    </row>
    <row r="39" spans="1:2" x14ac:dyDescent="0.3">
      <c r="A39" s="9" t="s">
        <v>2409</v>
      </c>
      <c r="B39" s="3">
        <v>167459.93</v>
      </c>
    </row>
    <row r="40" spans="1:2" x14ac:dyDescent="0.3">
      <c r="A40" s="9" t="s">
        <v>2408</v>
      </c>
      <c r="B40" s="3">
        <v>192126.55999999994</v>
      </c>
    </row>
    <row r="41" spans="1:2" x14ac:dyDescent="0.3">
      <c r="A41" s="9" t="s">
        <v>2403</v>
      </c>
      <c r="B41" s="3">
        <v>175651.40999999997</v>
      </c>
    </row>
    <row r="42" spans="1:2" x14ac:dyDescent="0.3">
      <c r="A42" s="9" t="s">
        <v>2404</v>
      </c>
      <c r="B42" s="3">
        <v>151722.39000000001</v>
      </c>
    </row>
    <row r="43" spans="1:2" x14ac:dyDescent="0.3">
      <c r="A43" s="9" t="s">
        <v>2407</v>
      </c>
      <c r="B43" s="3">
        <v>195612.60999999996</v>
      </c>
    </row>
    <row r="44" spans="1:2" x14ac:dyDescent="0.3">
      <c r="A44" s="9" t="s">
        <v>2405</v>
      </c>
      <c r="B44" s="3">
        <v>186568.95000000007</v>
      </c>
    </row>
    <row r="45" spans="1:2" x14ac:dyDescent="0.3">
      <c r="A45" s="9" t="s">
        <v>4294</v>
      </c>
      <c r="B45" s="3">
        <v>1264761.96</v>
      </c>
    </row>
    <row r="48" spans="1:2" ht="18" x14ac:dyDescent="0.35">
      <c r="A48" s="10" t="s">
        <v>4304</v>
      </c>
    </row>
    <row r="49" spans="1:2" x14ac:dyDescent="0.3">
      <c r="A49" s="8" t="s">
        <v>4295</v>
      </c>
      <c r="B49" t="s">
        <v>4305</v>
      </c>
    </row>
    <row r="50" spans="1:2" x14ac:dyDescent="0.3">
      <c r="A50" s="9" t="s">
        <v>2406</v>
      </c>
      <c r="B50">
        <v>562</v>
      </c>
    </row>
    <row r="51" spans="1:2" x14ac:dyDescent="0.3">
      <c r="A51" s="9" t="s">
        <v>2409</v>
      </c>
      <c r="B51">
        <v>508</v>
      </c>
    </row>
    <row r="52" spans="1:2" x14ac:dyDescent="0.3">
      <c r="A52" s="9" t="s">
        <v>2408</v>
      </c>
      <c r="B52">
        <v>535</v>
      </c>
    </row>
    <row r="53" spans="1:2" x14ac:dyDescent="0.3">
      <c r="A53" s="9" t="s">
        <v>2403</v>
      </c>
      <c r="B53">
        <v>480</v>
      </c>
    </row>
    <row r="54" spans="1:2" x14ac:dyDescent="0.3">
      <c r="A54" s="9" t="s">
        <v>2404</v>
      </c>
      <c r="B54">
        <v>411</v>
      </c>
    </row>
    <row r="55" spans="1:2" x14ac:dyDescent="0.3">
      <c r="A55" s="9" t="s">
        <v>2407</v>
      </c>
      <c r="B55">
        <v>542</v>
      </c>
    </row>
    <row r="56" spans="1:2" x14ac:dyDescent="0.3">
      <c r="A56" s="9" t="s">
        <v>2405</v>
      </c>
      <c r="B56">
        <v>497</v>
      </c>
    </row>
    <row r="57" spans="1:2" x14ac:dyDescent="0.3">
      <c r="A57" s="9" t="s">
        <v>4294</v>
      </c>
      <c r="B57">
        <v>3535</v>
      </c>
    </row>
    <row r="60" spans="1:2" ht="21" x14ac:dyDescent="0.4">
      <c r="A60" s="7" t="s">
        <v>4306</v>
      </c>
    </row>
    <row r="61" spans="1:2" x14ac:dyDescent="0.3">
      <c r="A61" s="8" t="s">
        <v>4295</v>
      </c>
      <c r="B61" t="s">
        <v>4301</v>
      </c>
    </row>
    <row r="62" spans="1:2" x14ac:dyDescent="0.3">
      <c r="A62" s="9" t="s">
        <v>4307</v>
      </c>
      <c r="B62" s="3">
        <v>124313.23000000005</v>
      </c>
    </row>
    <row r="63" spans="1:2" x14ac:dyDescent="0.3">
      <c r="A63" s="9" t="s">
        <v>4308</v>
      </c>
      <c r="B63" s="3">
        <v>112344.77999999998</v>
      </c>
    </row>
    <row r="64" spans="1:2" x14ac:dyDescent="0.3">
      <c r="A64" s="9" t="s">
        <v>4309</v>
      </c>
      <c r="B64" s="3">
        <v>123840.92999999995</v>
      </c>
    </row>
    <row r="65" spans="1:2" x14ac:dyDescent="0.3">
      <c r="A65" s="9" t="s">
        <v>4310</v>
      </c>
      <c r="B65" s="3">
        <v>109186.05</v>
      </c>
    </row>
    <row r="66" spans="1:2" x14ac:dyDescent="0.3">
      <c r="A66" s="9" t="s">
        <v>4311</v>
      </c>
      <c r="B66" s="3">
        <v>135142.59</v>
      </c>
    </row>
    <row r="67" spans="1:2" x14ac:dyDescent="0.3">
      <c r="A67" s="9" t="s">
        <v>4312</v>
      </c>
      <c r="B67" s="3">
        <v>170616.13000000006</v>
      </c>
    </row>
    <row r="68" spans="1:2" x14ac:dyDescent="0.3">
      <c r="A68" s="9" t="s">
        <v>4313</v>
      </c>
      <c r="B68" s="3">
        <v>85784.63999999997</v>
      </c>
    </row>
    <row r="69" spans="1:2" x14ac:dyDescent="0.3">
      <c r="A69" s="9" t="s">
        <v>4314</v>
      </c>
      <c r="B69" s="3">
        <v>86343.210000000036</v>
      </c>
    </row>
    <row r="70" spans="1:2" x14ac:dyDescent="0.3">
      <c r="A70" s="9" t="s">
        <v>4315</v>
      </c>
      <c r="B70" s="3">
        <v>69321.650000000023</v>
      </c>
    </row>
    <row r="71" spans="1:2" x14ac:dyDescent="0.3">
      <c r="A71" s="9" t="s">
        <v>4316</v>
      </c>
      <c r="B71" s="3">
        <v>89834.820000000022</v>
      </c>
    </row>
    <row r="72" spans="1:2" x14ac:dyDescent="0.3">
      <c r="A72" s="9" t="s">
        <v>4317</v>
      </c>
      <c r="B72" s="3">
        <v>75493.430000000008</v>
      </c>
    </row>
    <row r="73" spans="1:2" x14ac:dyDescent="0.3">
      <c r="A73" s="9" t="s">
        <v>4318</v>
      </c>
      <c r="B73" s="3">
        <v>82540.500000000015</v>
      </c>
    </row>
    <row r="74" spans="1:2" x14ac:dyDescent="0.3">
      <c r="A74" s="9" t="s">
        <v>4294</v>
      </c>
      <c r="B74" s="3">
        <v>1264761.96</v>
      </c>
    </row>
    <row r="77" spans="1:2" ht="18" x14ac:dyDescent="0.35">
      <c r="A77" s="10" t="s">
        <v>4319</v>
      </c>
    </row>
    <row r="78" spans="1:2" x14ac:dyDescent="0.3">
      <c r="A78" s="8" t="s">
        <v>4295</v>
      </c>
      <c r="B78" t="s">
        <v>4320</v>
      </c>
    </row>
    <row r="79" spans="1:2" x14ac:dyDescent="0.3">
      <c r="A79" s="9" t="s">
        <v>3069</v>
      </c>
      <c r="B79">
        <v>246</v>
      </c>
    </row>
    <row r="80" spans="1:2" x14ac:dyDescent="0.3">
      <c r="A80" s="9" t="s">
        <v>3067</v>
      </c>
      <c r="B80">
        <v>234</v>
      </c>
    </row>
    <row r="81" spans="1:2" x14ac:dyDescent="0.3">
      <c r="A81" s="9" t="s">
        <v>3065</v>
      </c>
      <c r="B81">
        <v>232</v>
      </c>
    </row>
    <row r="82" spans="1:2" x14ac:dyDescent="0.3">
      <c r="A82" s="9" t="s">
        <v>3068</v>
      </c>
      <c r="B82">
        <v>230</v>
      </c>
    </row>
    <row r="83" spans="1:2" x14ac:dyDescent="0.3">
      <c r="A83" s="9" t="s">
        <v>3066</v>
      </c>
      <c r="B83">
        <v>258</v>
      </c>
    </row>
    <row r="84" spans="1:2" x14ac:dyDescent="0.3">
      <c r="A84" s="9" t="s">
        <v>4294</v>
      </c>
      <c r="B84">
        <v>1200</v>
      </c>
    </row>
    <row r="87" spans="1:2" ht="21" x14ac:dyDescent="0.4">
      <c r="A87" s="7" t="s">
        <v>4321</v>
      </c>
    </row>
    <row r="88" spans="1:2" x14ac:dyDescent="0.3">
      <c r="A88" s="8" t="s">
        <v>4295</v>
      </c>
      <c r="B88" t="s">
        <v>4322</v>
      </c>
    </row>
    <row r="89" spans="1:2" x14ac:dyDescent="0.3">
      <c r="A89" s="9" t="s">
        <v>4280</v>
      </c>
      <c r="B89">
        <v>250</v>
      </c>
    </row>
    <row r="90" spans="1:2" x14ac:dyDescent="0.3">
      <c r="A90" s="9" t="s">
        <v>4281</v>
      </c>
      <c r="B90">
        <v>228</v>
      </c>
    </row>
    <row r="91" spans="1:2" x14ac:dyDescent="0.3">
      <c r="A91" s="9" t="s">
        <v>4282</v>
      </c>
      <c r="B91">
        <v>241</v>
      </c>
    </row>
    <row r="92" spans="1:2" x14ac:dyDescent="0.3">
      <c r="A92" s="9" t="s">
        <v>4278</v>
      </c>
      <c r="B92">
        <v>259</v>
      </c>
    </row>
    <row r="93" spans="1:2" x14ac:dyDescent="0.3">
      <c r="A93" s="9" t="s">
        <v>4279</v>
      </c>
      <c r="B93">
        <v>222</v>
      </c>
    </row>
    <row r="94" spans="1:2" x14ac:dyDescent="0.3">
      <c r="A94" s="9" t="s">
        <v>4294</v>
      </c>
      <c r="B94">
        <v>1200</v>
      </c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Dataset</vt:lpstr>
      <vt:lpstr>Project 2 EDA</vt:lpstr>
      <vt:lpstr>Project 2 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Saniya Kashif</cp:lastModifiedBy>
  <dcterms:created xsi:type="dcterms:W3CDTF">2025-06-21T13:19:12Z</dcterms:created>
  <dcterms:modified xsi:type="dcterms:W3CDTF">2026-07-20T14:09:55Z</dcterms:modified>
</cp:coreProperties>
</file>